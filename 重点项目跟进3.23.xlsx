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hidePivotFieldList="1"/>
  <mc:AlternateContent xmlns:mc="http://schemas.openxmlformats.org/markup-compatibility/2006">
    <mc:Choice Requires="x15">
      <x15ac:absPath xmlns:x15ac="http://schemas.microsoft.com/office/spreadsheetml/2010/11/ac" url="D:\"/>
    </mc:Choice>
  </mc:AlternateContent>
  <xr:revisionPtr revIDLastSave="0" documentId="13_ncr:1_{7324D329-FDD5-4BD3-A03F-A4DEB614AACB}" xr6:coauthVersionLast="47" xr6:coauthVersionMax="47" xr10:uidLastSave="{00000000-0000-0000-0000-000000000000}"/>
  <bookViews>
    <workbookView xWindow="25812" yWindow="-108" windowWidth="30936" windowHeight="16776" firstSheet="1" activeTab="1" xr2:uid="{00000000-000D-0000-FFFF-FFFF00000000}"/>
  </bookViews>
  <sheets>
    <sheet name="绿智食堂项目发货" sheetId="6" state="hidden" r:id="rId1"/>
    <sheet name="项目跟进表" sheetId="1" r:id="rId2"/>
    <sheet name="每周项目支持" sheetId="5" r:id="rId3"/>
    <sheet name="项目类型" sheetId="4" r:id="rId4"/>
    <sheet name="解决方案跟进表" sheetId="2" r:id="rId5"/>
  </sheets>
  <definedNames>
    <definedName name="_xlnm._FilterDatabase" localSheetId="4" hidden="1">解决方案跟进表!$A$1:$L$24</definedName>
    <definedName name="_xlnm._FilterDatabase" localSheetId="0" hidden="1">绿智食堂项目发货!$C$1:$AJ$20</definedName>
    <definedName name="_xlnm._FilterDatabase" localSheetId="2" hidden="1">每周项目支持!$A$1:$D$614</definedName>
    <definedName name="_xlnm._FilterDatabase" localSheetId="1" hidden="1">项目跟进表!$A$1:$V$515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 i="1" l="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5" i="1"/>
  <c r="A246" i="1"/>
  <c r="A247" i="1"/>
  <c r="A248" i="1"/>
  <c r="A249" i="1"/>
  <c r="A250" i="1"/>
  <c r="A251" i="1"/>
  <c r="A252" i="1"/>
  <c r="A253" i="1"/>
  <c r="A254" i="1"/>
  <c r="A255" i="1"/>
  <c r="A256" i="1"/>
  <c r="A257" i="1"/>
  <c r="A258" i="1"/>
  <c r="A259" i="1"/>
  <c r="A260" i="1"/>
  <c r="A261" i="1"/>
  <c r="A262" i="1"/>
  <c r="A263" i="1"/>
  <c r="A264" i="1"/>
  <c r="A265" i="1"/>
  <c r="A266" i="1"/>
  <c r="A267" i="1"/>
  <c r="A268" i="1"/>
  <c r="A269" i="1"/>
  <c r="A270" i="1"/>
  <c r="A271" i="1"/>
  <c r="A272" i="1"/>
  <c r="A273" i="1"/>
  <c r="A274" i="1"/>
  <c r="A275" i="1"/>
  <c r="A276" i="1"/>
  <c r="A277" i="1"/>
  <c r="A278" i="1"/>
  <c r="A279" i="1"/>
  <c r="A280" i="1"/>
  <c r="A281" i="1"/>
  <c r="A282" i="1"/>
  <c r="A283" i="1"/>
  <c r="A284" i="1"/>
  <c r="A285" i="1"/>
  <c r="A286" i="1"/>
  <c r="A287" i="1"/>
  <c r="A288" i="1"/>
  <c r="A289" i="1"/>
  <c r="A290" i="1"/>
  <c r="A291" i="1"/>
  <c r="A292" i="1"/>
  <c r="A293" i="1"/>
  <c r="A294" i="1"/>
  <c r="A295" i="1"/>
  <c r="A296" i="1"/>
  <c r="A297" i="1"/>
  <c r="A298" i="1"/>
  <c r="A299" i="1"/>
  <c r="A300" i="1"/>
  <c r="A301" i="1"/>
  <c r="A302" i="1"/>
  <c r="A303" i="1"/>
  <c r="A304" i="1"/>
  <c r="A305" i="1"/>
  <c r="A306" i="1"/>
  <c r="A307" i="1"/>
  <c r="A308" i="1"/>
  <c r="A309" i="1"/>
  <c r="A310" i="1"/>
  <c r="A311" i="1"/>
  <c r="A312" i="1"/>
  <c r="A313" i="1"/>
  <c r="A314" i="1"/>
  <c r="A315" i="1"/>
  <c r="A316" i="1"/>
  <c r="A317" i="1"/>
  <c r="A318" i="1"/>
  <c r="A319" i="1"/>
  <c r="A320" i="1"/>
  <c r="A321" i="1"/>
  <c r="A322" i="1"/>
  <c r="A323" i="1"/>
  <c r="A324" i="1"/>
  <c r="A325" i="1"/>
  <c r="A326" i="1"/>
  <c r="A327" i="1"/>
  <c r="A328" i="1"/>
  <c r="A329" i="1"/>
  <c r="A330" i="1"/>
  <c r="A331" i="1"/>
  <c r="A332" i="1"/>
  <c r="A333" i="1"/>
  <c r="A334" i="1"/>
  <c r="A335" i="1"/>
  <c r="A336" i="1"/>
  <c r="A337" i="1"/>
  <c r="A338" i="1"/>
  <c r="A339" i="1"/>
  <c r="A340" i="1"/>
  <c r="A341" i="1"/>
  <c r="A342" i="1"/>
  <c r="A343" i="1"/>
  <c r="A344" i="1"/>
  <c r="A345" i="1"/>
  <c r="A346" i="1"/>
  <c r="A347" i="1"/>
  <c r="A348" i="1"/>
  <c r="A349" i="1"/>
  <c r="A350" i="1"/>
  <c r="A351" i="1"/>
  <c r="A352" i="1"/>
  <c r="A353" i="1"/>
  <c r="A354" i="1"/>
  <c r="A355" i="1"/>
  <c r="A356" i="1"/>
  <c r="A357" i="1"/>
  <c r="A358" i="1"/>
  <c r="A359" i="1"/>
  <c r="A360" i="1"/>
  <c r="A361" i="1"/>
  <c r="A362" i="1"/>
  <c r="A363" i="1"/>
  <c r="A364" i="1"/>
  <c r="A365" i="1"/>
  <c r="A366" i="1"/>
  <c r="A367" i="1"/>
  <c r="A368" i="1"/>
  <c r="A369" i="1"/>
  <c r="A370" i="1"/>
  <c r="A371" i="1"/>
  <c r="A372" i="1"/>
  <c r="A373" i="1"/>
  <c r="A374" i="1"/>
  <c r="A375" i="1"/>
  <c r="A376" i="1"/>
  <c r="A377" i="1"/>
  <c r="A378" i="1"/>
  <c r="A379" i="1"/>
  <c r="A380" i="1"/>
  <c r="A381" i="1"/>
  <c r="A382" i="1"/>
  <c r="A383" i="1"/>
  <c r="A384" i="1"/>
  <c r="A385" i="1"/>
  <c r="A386" i="1"/>
  <c r="A387" i="1"/>
  <c r="A388" i="1"/>
  <c r="A389" i="1"/>
  <c r="A390" i="1"/>
  <c r="A391" i="1"/>
  <c r="A392" i="1"/>
  <c r="A393" i="1"/>
  <c r="A394" i="1"/>
  <c r="A395" i="1"/>
  <c r="A396" i="1"/>
  <c r="A397" i="1"/>
  <c r="A398" i="1"/>
  <c r="A399" i="1"/>
  <c r="A400" i="1"/>
  <c r="A401" i="1"/>
  <c r="A402" i="1"/>
  <c r="A403" i="1"/>
  <c r="A404" i="1"/>
  <c r="A405" i="1"/>
  <c r="A406" i="1"/>
  <c r="A407" i="1"/>
  <c r="A408" i="1"/>
  <c r="A409" i="1"/>
  <c r="A410" i="1"/>
  <c r="A411" i="1"/>
  <c r="A412" i="1"/>
  <c r="A413" i="1"/>
  <c r="A414" i="1"/>
  <c r="A415" i="1"/>
  <c r="A416" i="1"/>
  <c r="A417" i="1"/>
  <c r="A418" i="1"/>
  <c r="A419" i="1"/>
  <c r="A420" i="1"/>
  <c r="A421" i="1"/>
  <c r="A422" i="1"/>
  <c r="A423" i="1"/>
  <c r="A424" i="1"/>
  <c r="A425" i="1"/>
  <c r="A426" i="1"/>
  <c r="A427" i="1"/>
  <c r="A428" i="1"/>
  <c r="A429" i="1"/>
  <c r="A430" i="1"/>
  <c r="A431" i="1"/>
  <c r="A432" i="1"/>
  <c r="A433" i="1"/>
  <c r="A434" i="1"/>
  <c r="A435" i="1"/>
  <c r="A436" i="1"/>
  <c r="A437" i="1"/>
  <c r="A438" i="1"/>
  <c r="A439" i="1"/>
  <c r="A440" i="1"/>
  <c r="A441" i="1"/>
  <c r="A442" i="1"/>
  <c r="A443" i="1"/>
  <c r="A444" i="1"/>
  <c r="A445" i="1"/>
  <c r="A446" i="1"/>
  <c r="A447" i="1"/>
  <c r="A448" i="1"/>
  <c r="A449" i="1"/>
  <c r="A450" i="1"/>
  <c r="A451" i="1"/>
  <c r="A452" i="1"/>
  <c r="A453" i="1"/>
  <c r="A454" i="1"/>
  <c r="A455" i="1"/>
  <c r="A456" i="1"/>
  <c r="A457" i="1"/>
  <c r="A458" i="1"/>
  <c r="A459" i="1"/>
  <c r="A460" i="1"/>
  <c r="A461" i="1"/>
  <c r="A462" i="1"/>
  <c r="A463" i="1"/>
  <c r="A464" i="1"/>
  <c r="A465" i="1"/>
  <c r="A466" i="1"/>
  <c r="A467" i="1"/>
  <c r="A468" i="1"/>
  <c r="A469" i="1"/>
  <c r="A470" i="1"/>
  <c r="A471" i="1"/>
  <c r="A472" i="1"/>
  <c r="A473" i="1"/>
  <c r="A474" i="1"/>
  <c r="A475" i="1"/>
  <c r="A476" i="1"/>
  <c r="A477" i="1"/>
  <c r="A478" i="1"/>
  <c r="A479" i="1"/>
  <c r="A480" i="1"/>
  <c r="A481" i="1"/>
  <c r="A482" i="1"/>
  <c r="A483" i="1"/>
  <c r="A484" i="1"/>
  <c r="A485" i="1"/>
  <c r="A486" i="1"/>
  <c r="A487" i="1"/>
  <c r="A488" i="1"/>
  <c r="A489" i="1"/>
  <c r="A490" i="1"/>
  <c r="A491" i="1"/>
  <c r="A492" i="1"/>
  <c r="A493" i="1"/>
  <c r="A494" i="1"/>
  <c r="A495" i="1"/>
  <c r="A496" i="1"/>
  <c r="A497" i="1"/>
  <c r="A498" i="1"/>
  <c r="A499" i="1"/>
  <c r="A500" i="1"/>
  <c r="A501" i="1"/>
  <c r="A502" i="1"/>
  <c r="A503" i="1"/>
  <c r="A504" i="1"/>
  <c r="A505" i="1"/>
  <c r="A506" i="1"/>
  <c r="A507" i="1"/>
  <c r="A508" i="1"/>
  <c r="A509" i="1"/>
  <c r="A510" i="1"/>
  <c r="A511" i="1"/>
  <c r="A512" i="1"/>
  <c r="A513" i="1"/>
  <c r="A514" i="1"/>
  <c r="A515" i="1"/>
  <c r="A849" i="5" l="1"/>
  <c r="A850" i="5"/>
  <c r="A851" i="5"/>
  <c r="A852" i="5"/>
  <c r="A853" i="5"/>
  <c r="A854" i="5"/>
  <c r="A855" i="5"/>
  <c r="A856" i="5"/>
  <c r="A857" i="5"/>
  <c r="A858" i="5"/>
  <c r="A859" i="5"/>
  <c r="A860" i="5"/>
  <c r="A861" i="5"/>
  <c r="A862" i="5"/>
  <c r="A863" i="5"/>
  <c r="A864" i="5"/>
  <c r="A865" i="5"/>
  <c r="A866" i="5"/>
  <c r="A867" i="5"/>
  <c r="A868" i="5"/>
  <c r="A869" i="5"/>
  <c r="A870" i="5"/>
  <c r="A871" i="5"/>
  <c r="A872" i="5"/>
  <c r="A873" i="5"/>
  <c r="A874" i="5"/>
  <c r="A875" i="5"/>
  <c r="A876" i="5"/>
  <c r="A877" i="5"/>
  <c r="A878" i="5"/>
  <c r="A879" i="5"/>
  <c r="A880" i="5"/>
  <c r="A881" i="5"/>
  <c r="A882" i="5"/>
  <c r="A883" i="5"/>
  <c r="A884" i="5"/>
  <c r="A885" i="5"/>
  <c r="A886" i="5"/>
  <c r="A887" i="5"/>
  <c r="A888" i="5"/>
  <c r="A889" i="5"/>
  <c r="A890" i="5"/>
  <c r="A891" i="5"/>
  <c r="A892" i="5"/>
  <c r="A893" i="5"/>
  <c r="A894" i="5"/>
  <c r="A895" i="5"/>
  <c r="A896" i="5"/>
  <c r="A897" i="5"/>
  <c r="A898" i="5"/>
  <c r="A899" i="5"/>
  <c r="A900" i="5"/>
  <c r="A901" i="5"/>
  <c r="A902" i="5"/>
  <c r="A903" i="5"/>
  <c r="A904" i="5"/>
  <c r="A905" i="5"/>
  <c r="A906" i="5"/>
  <c r="A907" i="5"/>
  <c r="A908" i="5"/>
  <c r="A909" i="5"/>
  <c r="A910" i="5"/>
  <c r="A911" i="5"/>
  <c r="A912" i="5"/>
  <c r="A913" i="5"/>
  <c r="A914" i="5"/>
  <c r="A915" i="5"/>
  <c r="A916" i="5"/>
  <c r="A917" i="5"/>
  <c r="A918" i="5"/>
  <c r="A919" i="5"/>
  <c r="A920" i="5"/>
  <c r="A921" i="5"/>
  <c r="A922" i="5"/>
  <c r="A923" i="5"/>
  <c r="A924" i="5"/>
  <c r="A842" i="5"/>
  <c r="A843" i="5"/>
  <c r="A844" i="5"/>
  <c r="A845" i="5"/>
  <c r="A846" i="5"/>
  <c r="A847" i="5"/>
  <c r="A848" i="5"/>
  <c r="A828" i="5" l="1"/>
  <c r="A829" i="5"/>
  <c r="A830" i="5"/>
  <c r="A831" i="5"/>
  <c r="A832" i="5"/>
  <c r="A833" i="5"/>
  <c r="A834" i="5"/>
  <c r="A835" i="5"/>
  <c r="A836" i="5"/>
  <c r="A837" i="5"/>
  <c r="A838" i="5"/>
  <c r="A839" i="5"/>
  <c r="A840" i="5"/>
  <c r="A841" i="5"/>
  <c r="A811" i="5" l="1"/>
  <c r="A812" i="5"/>
  <c r="A813" i="5"/>
  <c r="A814" i="5"/>
  <c r="A815" i="5"/>
  <c r="A816" i="5"/>
  <c r="A817" i="5"/>
  <c r="A818" i="5"/>
  <c r="A819" i="5"/>
  <c r="A820" i="5"/>
  <c r="A821" i="5"/>
  <c r="A822" i="5"/>
  <c r="A823" i="5"/>
  <c r="A824" i="5"/>
  <c r="A825" i="5"/>
  <c r="A826" i="5"/>
  <c r="A827" i="5"/>
  <c r="A792" i="5" l="1"/>
  <c r="A793" i="5"/>
  <c r="A794" i="5"/>
  <c r="A795" i="5"/>
  <c r="A796" i="5"/>
  <c r="A797" i="5"/>
  <c r="A798" i="5"/>
  <c r="A799" i="5"/>
  <c r="A800" i="5"/>
  <c r="A801" i="5"/>
  <c r="A802" i="5"/>
  <c r="A803" i="5"/>
  <c r="A804" i="5"/>
  <c r="A805" i="5"/>
  <c r="A806" i="5"/>
  <c r="A807" i="5"/>
  <c r="A808" i="5"/>
  <c r="A809" i="5"/>
  <c r="A810" i="5"/>
  <c r="A769" i="5"/>
  <c r="A770" i="5"/>
  <c r="A771" i="5"/>
  <c r="A772" i="5"/>
  <c r="A773" i="5"/>
  <c r="A774" i="5"/>
  <c r="A775" i="5"/>
  <c r="A776" i="5"/>
  <c r="A777" i="5"/>
  <c r="A778" i="5"/>
  <c r="A779" i="5"/>
  <c r="A780" i="5"/>
  <c r="A781" i="5"/>
  <c r="A782" i="5"/>
  <c r="A783" i="5"/>
  <c r="A784" i="5"/>
  <c r="A785" i="5"/>
  <c r="A786" i="5"/>
  <c r="A787" i="5"/>
  <c r="A788" i="5"/>
  <c r="A789" i="5"/>
  <c r="A790" i="5"/>
  <c r="A791" i="5"/>
  <c r="A746" i="5"/>
  <c r="A747" i="5"/>
  <c r="A748" i="5"/>
  <c r="A749" i="5"/>
  <c r="A750" i="5"/>
  <c r="A751" i="5"/>
  <c r="A752" i="5"/>
  <c r="A753" i="5"/>
  <c r="A754" i="5"/>
  <c r="A755" i="5"/>
  <c r="A756" i="5"/>
  <c r="A757" i="5"/>
  <c r="A758" i="5"/>
  <c r="A759" i="5"/>
  <c r="A760" i="5"/>
  <c r="A761" i="5"/>
  <c r="A762" i="5"/>
  <c r="A763" i="5"/>
  <c r="A764" i="5"/>
  <c r="A765" i="5"/>
  <c r="A766" i="5"/>
  <c r="A767" i="5"/>
  <c r="A768" i="5"/>
  <c r="A735" i="5" l="1"/>
  <c r="A736" i="5"/>
  <c r="A737" i="5"/>
  <c r="A738" i="5"/>
  <c r="A739" i="5"/>
  <c r="A740" i="5"/>
  <c r="A741" i="5"/>
  <c r="A742" i="5"/>
  <c r="A743" i="5"/>
  <c r="A744" i="5"/>
  <c r="A745" i="5"/>
  <c r="N63" i="1"/>
  <c r="A715" i="5"/>
  <c r="A716" i="5"/>
  <c r="A717" i="5"/>
  <c r="A718" i="5"/>
  <c r="A719" i="5"/>
  <c r="A720" i="5"/>
  <c r="A721" i="5"/>
  <c r="A722" i="5"/>
  <c r="A723" i="5"/>
  <c r="A724" i="5"/>
  <c r="A725" i="5"/>
  <c r="A726" i="5"/>
  <c r="A727" i="5"/>
  <c r="A728" i="5"/>
  <c r="A729" i="5"/>
  <c r="A730" i="5"/>
  <c r="A731" i="5"/>
  <c r="A732" i="5"/>
  <c r="A733" i="5"/>
  <c r="A734" i="5"/>
  <c r="A3" i="1"/>
  <c r="A2" i="1" l="1"/>
  <c r="A687" i="5" l="1"/>
  <c r="A688" i="5"/>
  <c r="A689" i="5"/>
  <c r="A690" i="5"/>
  <c r="A691" i="5"/>
  <c r="A692" i="5"/>
  <c r="A693" i="5"/>
  <c r="A694" i="5"/>
  <c r="A695" i="5"/>
  <c r="A696" i="5"/>
  <c r="A697" i="5"/>
  <c r="A698" i="5"/>
  <c r="A699" i="5"/>
  <c r="A700" i="5"/>
  <c r="A701" i="5"/>
  <c r="A702" i="5"/>
  <c r="A703" i="5"/>
  <c r="A704" i="5"/>
  <c r="A705" i="5"/>
  <c r="A706" i="5"/>
  <c r="A707" i="5"/>
  <c r="A708" i="5"/>
  <c r="A709" i="5"/>
  <c r="A710" i="5"/>
  <c r="A711" i="5"/>
  <c r="A712" i="5"/>
  <c r="A713" i="5"/>
  <c r="A714" i="5"/>
  <c r="A664" i="5" l="1"/>
  <c r="A665" i="5"/>
  <c r="A666" i="5"/>
  <c r="A667" i="5"/>
  <c r="A668" i="5"/>
  <c r="A669" i="5"/>
  <c r="A670" i="5"/>
  <c r="A671" i="5"/>
  <c r="A672" i="5"/>
  <c r="A673" i="5"/>
  <c r="A674" i="5"/>
  <c r="A675" i="5"/>
  <c r="A676" i="5"/>
  <c r="A677" i="5"/>
  <c r="A678" i="5"/>
  <c r="A679" i="5"/>
  <c r="A680" i="5"/>
  <c r="A681" i="5"/>
  <c r="A682" i="5"/>
  <c r="A683" i="5"/>
  <c r="A684" i="5"/>
  <c r="A685" i="5"/>
  <c r="A686" i="5"/>
  <c r="A642" i="5" l="1"/>
  <c r="A643" i="5"/>
  <c r="A644" i="5"/>
  <c r="A645" i="5"/>
  <c r="A646" i="5"/>
  <c r="A647" i="5"/>
  <c r="A648" i="5"/>
  <c r="A649" i="5"/>
  <c r="A650" i="5"/>
  <c r="A651" i="5"/>
  <c r="A652" i="5"/>
  <c r="A653" i="5"/>
  <c r="A654" i="5"/>
  <c r="A655" i="5"/>
  <c r="A656" i="5"/>
  <c r="A657" i="5"/>
  <c r="A658" i="5"/>
  <c r="A659" i="5"/>
  <c r="A660" i="5"/>
  <c r="A661" i="5"/>
  <c r="A662" i="5"/>
  <c r="A663" i="5"/>
  <c r="A615" i="5" l="1"/>
  <c r="A616" i="5"/>
  <c r="A617" i="5"/>
  <c r="A618" i="5"/>
  <c r="A619" i="5"/>
  <c r="A620" i="5"/>
  <c r="A621" i="5"/>
  <c r="A622" i="5"/>
  <c r="A623" i="5"/>
  <c r="A624" i="5"/>
  <c r="A625" i="5"/>
  <c r="A626" i="5"/>
  <c r="A627" i="5"/>
  <c r="A628" i="5"/>
  <c r="A629" i="5"/>
  <c r="A630" i="5"/>
  <c r="A631" i="5"/>
  <c r="A632" i="5"/>
  <c r="A633" i="5"/>
  <c r="A634" i="5"/>
  <c r="A635" i="5"/>
  <c r="A636" i="5"/>
  <c r="A637" i="5"/>
  <c r="A638" i="5"/>
  <c r="A639" i="5"/>
  <c r="A640" i="5"/>
  <c r="A641" i="5"/>
  <c r="A581" i="5" l="1"/>
  <c r="A582" i="5"/>
  <c r="A583" i="5"/>
  <c r="A584" i="5"/>
  <c r="A585" i="5"/>
  <c r="A586" i="5"/>
  <c r="A587" i="5"/>
  <c r="A588" i="5"/>
  <c r="A589" i="5"/>
  <c r="A590" i="5"/>
  <c r="A591" i="5"/>
  <c r="A592" i="5"/>
  <c r="A593" i="5"/>
  <c r="A594" i="5"/>
  <c r="A595" i="5"/>
  <c r="A596" i="5"/>
  <c r="A597" i="5"/>
  <c r="A598" i="5"/>
  <c r="A599" i="5"/>
  <c r="A600" i="5"/>
  <c r="A601" i="5"/>
  <c r="A602" i="5"/>
  <c r="A603" i="5"/>
  <c r="A604" i="5"/>
  <c r="A605" i="5"/>
  <c r="A606" i="5"/>
  <c r="A607" i="5"/>
  <c r="A608" i="5"/>
  <c r="A609" i="5"/>
  <c r="A610" i="5"/>
  <c r="A611" i="5"/>
  <c r="A612" i="5"/>
  <c r="A613" i="5"/>
  <c r="A614" i="5"/>
  <c r="A555" i="5"/>
  <c r="A556" i="5"/>
  <c r="A557" i="5"/>
  <c r="A558" i="5"/>
  <c r="A559" i="5"/>
  <c r="A560" i="5"/>
  <c r="A561" i="5"/>
  <c r="A562" i="5"/>
  <c r="A563" i="5"/>
  <c r="A564" i="5"/>
  <c r="A565" i="5"/>
  <c r="A566" i="5"/>
  <c r="A567" i="5"/>
  <c r="A568" i="5"/>
  <c r="A569" i="5"/>
  <c r="A570" i="5"/>
  <c r="A571" i="5"/>
  <c r="A572" i="5"/>
  <c r="A573" i="5"/>
  <c r="A574" i="5"/>
  <c r="A575" i="5"/>
  <c r="A576" i="5"/>
  <c r="A577" i="5"/>
  <c r="A578" i="5"/>
  <c r="A579" i="5"/>
  <c r="A580" i="5"/>
  <c r="A522" i="5"/>
  <c r="A523" i="5"/>
  <c r="A524" i="5"/>
  <c r="A525" i="5"/>
  <c r="A526" i="5"/>
  <c r="A527" i="5"/>
  <c r="A528" i="5"/>
  <c r="A529" i="5"/>
  <c r="A530" i="5"/>
  <c r="A531" i="5"/>
  <c r="A532" i="5"/>
  <c r="A533" i="5"/>
  <c r="A534" i="5"/>
  <c r="A535" i="5"/>
  <c r="A536" i="5"/>
  <c r="A537" i="5"/>
  <c r="A538" i="5"/>
  <c r="A539" i="5"/>
  <c r="A540" i="5"/>
  <c r="A541" i="5"/>
  <c r="A542" i="5"/>
  <c r="A543" i="5"/>
  <c r="A544" i="5"/>
  <c r="A545" i="5"/>
  <c r="A546" i="5"/>
  <c r="A547" i="5"/>
  <c r="A548" i="5"/>
  <c r="A549" i="5"/>
  <c r="A550" i="5"/>
  <c r="A551" i="5"/>
  <c r="A552" i="5"/>
  <c r="A553" i="5"/>
  <c r="A554" i="5"/>
  <c r="A501" i="5" l="1"/>
  <c r="A502" i="5"/>
  <c r="A503" i="5"/>
  <c r="A504" i="5"/>
  <c r="A505" i="5"/>
  <c r="A506" i="5"/>
  <c r="A507" i="5"/>
  <c r="A508" i="5"/>
  <c r="A509" i="5"/>
  <c r="A510" i="5"/>
  <c r="A511" i="5"/>
  <c r="A512" i="5"/>
  <c r="A513" i="5"/>
  <c r="A514" i="5"/>
  <c r="A515" i="5"/>
  <c r="A516" i="5"/>
  <c r="A517" i="5"/>
  <c r="A518" i="5"/>
  <c r="A519" i="5"/>
  <c r="A520" i="5"/>
  <c r="A521" i="5"/>
  <c r="A480" i="5" l="1"/>
  <c r="A481" i="5"/>
  <c r="A482" i="5"/>
  <c r="A483" i="5"/>
  <c r="A484" i="5"/>
  <c r="A485" i="5"/>
  <c r="A486" i="5"/>
  <c r="A487" i="5"/>
  <c r="A488" i="5"/>
  <c r="A489" i="5"/>
  <c r="A490" i="5"/>
  <c r="A491" i="5"/>
  <c r="A492" i="5"/>
  <c r="A493" i="5"/>
  <c r="A494" i="5"/>
  <c r="A495" i="5"/>
  <c r="A496" i="5"/>
  <c r="A497" i="5"/>
  <c r="A498" i="5"/>
  <c r="A499" i="5"/>
  <c r="A500" i="5"/>
  <c r="A463" i="5" l="1"/>
  <c r="A464" i="5"/>
  <c r="A465" i="5"/>
  <c r="A466" i="5"/>
  <c r="A467" i="5"/>
  <c r="A468" i="5"/>
  <c r="A469" i="5"/>
  <c r="A470" i="5"/>
  <c r="A471" i="5"/>
  <c r="A472" i="5"/>
  <c r="A473" i="5"/>
  <c r="A474" i="5"/>
  <c r="A475" i="5"/>
  <c r="A476" i="5"/>
  <c r="A477" i="5"/>
  <c r="A478" i="5"/>
  <c r="A479" i="5"/>
  <c r="A452" i="5" l="1"/>
  <c r="A453" i="5"/>
  <c r="A454" i="5"/>
  <c r="A455" i="5"/>
  <c r="A456" i="5"/>
  <c r="A457" i="5"/>
  <c r="A458" i="5"/>
  <c r="A459" i="5"/>
  <c r="A460" i="5"/>
  <c r="A461" i="5"/>
  <c r="A462" i="5"/>
  <c r="A442" i="5"/>
  <c r="A443" i="5"/>
  <c r="A444" i="5"/>
  <c r="A445" i="5"/>
  <c r="A446" i="5"/>
  <c r="A447" i="5"/>
  <c r="A448" i="5"/>
  <c r="A449" i="5"/>
  <c r="A450" i="5"/>
  <c r="A451" i="5"/>
  <c r="A422" i="5" l="1"/>
  <c r="A423" i="5"/>
  <c r="A424" i="5"/>
  <c r="A425" i="5"/>
  <c r="A426" i="5"/>
  <c r="A427" i="5"/>
  <c r="A428" i="5"/>
  <c r="A429" i="5"/>
  <c r="A430" i="5"/>
  <c r="A431" i="5"/>
  <c r="A432" i="5"/>
  <c r="A433" i="5"/>
  <c r="A434" i="5"/>
  <c r="A435" i="5"/>
  <c r="A436" i="5"/>
  <c r="A437" i="5"/>
  <c r="A438" i="5"/>
  <c r="A439" i="5"/>
  <c r="A440" i="5"/>
  <c r="A441" i="5"/>
  <c r="A402" i="5" l="1"/>
  <c r="A403" i="5"/>
  <c r="A404" i="5"/>
  <c r="A405" i="5"/>
  <c r="A406" i="5"/>
  <c r="A407" i="5"/>
  <c r="A408" i="5"/>
  <c r="A409" i="5"/>
  <c r="A410" i="5"/>
  <c r="A411" i="5"/>
  <c r="A412" i="5"/>
  <c r="A413" i="5"/>
  <c r="A414" i="5"/>
  <c r="A415" i="5"/>
  <c r="A416" i="5"/>
  <c r="A417" i="5"/>
  <c r="A418" i="5"/>
  <c r="A419" i="5"/>
  <c r="A420" i="5"/>
  <c r="A421" i="5"/>
  <c r="A381" i="5" l="1"/>
  <c r="A382" i="5"/>
  <c r="A383" i="5"/>
  <c r="A384" i="5"/>
  <c r="A385" i="5"/>
  <c r="A386" i="5"/>
  <c r="A387" i="5"/>
  <c r="A388" i="5"/>
  <c r="A389" i="5"/>
  <c r="A390" i="5"/>
  <c r="A391" i="5"/>
  <c r="A392" i="5"/>
  <c r="A393" i="5"/>
  <c r="A394" i="5"/>
  <c r="A395" i="5"/>
  <c r="A396" i="5"/>
  <c r="A397" i="5"/>
  <c r="A398" i="5"/>
  <c r="A399" i="5"/>
  <c r="A400" i="5"/>
  <c r="A401" i="5"/>
  <c r="A359" i="5" l="1"/>
  <c r="A360" i="5"/>
  <c r="A361" i="5"/>
  <c r="A362" i="5"/>
  <c r="A363" i="5"/>
  <c r="A364" i="5"/>
  <c r="A365" i="5"/>
  <c r="A366" i="5"/>
  <c r="A367" i="5"/>
  <c r="A368" i="5"/>
  <c r="A369" i="5"/>
  <c r="A370" i="5"/>
  <c r="A371" i="5"/>
  <c r="A372" i="5"/>
  <c r="A373" i="5"/>
  <c r="A374" i="5"/>
  <c r="A375" i="5"/>
  <c r="A376" i="5"/>
  <c r="A377" i="5"/>
  <c r="A378" i="5"/>
  <c r="A379" i="5"/>
  <c r="A380" i="5"/>
  <c r="A339" i="5" l="1"/>
  <c r="A340" i="5"/>
  <c r="A341" i="5"/>
  <c r="A342" i="5"/>
  <c r="A343" i="5"/>
  <c r="A344" i="5"/>
  <c r="A345" i="5"/>
  <c r="A346" i="5"/>
  <c r="A347" i="5"/>
  <c r="A348" i="5"/>
  <c r="A349" i="5"/>
  <c r="A350" i="5"/>
  <c r="A351" i="5"/>
  <c r="A352" i="5"/>
  <c r="A353" i="5"/>
  <c r="A354" i="5"/>
  <c r="A355" i="5"/>
  <c r="A356" i="5"/>
  <c r="A357" i="5"/>
  <c r="A358" i="5"/>
  <c r="A318" i="5"/>
  <c r="A319" i="5"/>
  <c r="A320" i="5"/>
  <c r="A321" i="5"/>
  <c r="A322" i="5"/>
  <c r="A323" i="5"/>
  <c r="A324" i="5"/>
  <c r="A325" i="5"/>
  <c r="A326" i="5"/>
  <c r="A327" i="5"/>
  <c r="A328" i="5"/>
  <c r="A329" i="5"/>
  <c r="A330" i="5"/>
  <c r="A331" i="5"/>
  <c r="A332" i="5"/>
  <c r="A333" i="5"/>
  <c r="A334" i="5"/>
  <c r="A335" i="5"/>
  <c r="A336" i="5"/>
  <c r="A337" i="5"/>
  <c r="A338" i="5"/>
  <c r="N29" i="1" l="1"/>
  <c r="A298" i="5"/>
  <c r="A299" i="5"/>
  <c r="A300" i="5"/>
  <c r="A301" i="5"/>
  <c r="A302" i="5"/>
  <c r="A303" i="5"/>
  <c r="A304" i="5"/>
  <c r="A305" i="5"/>
  <c r="A306" i="5"/>
  <c r="A307" i="5"/>
  <c r="A308" i="5"/>
  <c r="A309" i="5"/>
  <c r="A310" i="5"/>
  <c r="A311" i="5"/>
  <c r="A312" i="5"/>
  <c r="A313" i="5"/>
  <c r="A314" i="5"/>
  <c r="A315" i="5"/>
  <c r="A316" i="5"/>
  <c r="A317" i="5"/>
  <c r="A287" i="5" l="1"/>
  <c r="A288" i="5"/>
  <c r="A289" i="5"/>
  <c r="A290" i="5"/>
  <c r="A291" i="5"/>
  <c r="A292" i="5"/>
  <c r="A293" i="5"/>
  <c r="A294" i="5"/>
  <c r="A295" i="5"/>
  <c r="A296" i="5"/>
  <c r="A297" i="5"/>
  <c r="A259" i="5" l="1"/>
  <c r="A260" i="5"/>
  <c r="A261" i="5"/>
  <c r="A262" i="5"/>
  <c r="A263" i="5"/>
  <c r="A264" i="5"/>
  <c r="A265" i="5"/>
  <c r="A266" i="5"/>
  <c r="A267" i="5"/>
  <c r="A268" i="5"/>
  <c r="A269" i="5"/>
  <c r="A270" i="5"/>
  <c r="A271" i="5"/>
  <c r="A272" i="5"/>
  <c r="A273" i="5"/>
  <c r="A274" i="5"/>
  <c r="A275" i="5"/>
  <c r="A276" i="5"/>
  <c r="A277" i="5"/>
  <c r="A278" i="5"/>
  <c r="A279" i="5"/>
  <c r="A280" i="5"/>
  <c r="A281" i="5"/>
  <c r="A282" i="5"/>
  <c r="A283" i="5"/>
  <c r="A284" i="5"/>
  <c r="A285" i="5"/>
  <c r="A286" i="5"/>
  <c r="A239" i="5"/>
  <c r="A240" i="5"/>
  <c r="A241" i="5"/>
  <c r="A242" i="5"/>
  <c r="A243" i="5"/>
  <c r="A244" i="5"/>
  <c r="A245" i="5"/>
  <c r="A246" i="5"/>
  <c r="A247" i="5"/>
  <c r="A248" i="5"/>
  <c r="A249" i="5"/>
  <c r="A250" i="5"/>
  <c r="A251" i="5"/>
  <c r="A252" i="5"/>
  <c r="A253" i="5"/>
  <c r="A254" i="5"/>
  <c r="A255" i="5"/>
  <c r="A256" i="5"/>
  <c r="A257" i="5"/>
  <c r="A258" i="5"/>
  <c r="A212" i="5" l="1"/>
  <c r="A213" i="5"/>
  <c r="A214" i="5"/>
  <c r="A215" i="5"/>
  <c r="A216" i="5"/>
  <c r="A217" i="5"/>
  <c r="A218" i="5"/>
  <c r="A219" i="5"/>
  <c r="A220" i="5"/>
  <c r="A221" i="5"/>
  <c r="A222" i="5"/>
  <c r="A223" i="5"/>
  <c r="A224" i="5"/>
  <c r="A225" i="5"/>
  <c r="A226" i="5"/>
  <c r="A227" i="5"/>
  <c r="A228" i="5"/>
  <c r="A229" i="5"/>
  <c r="A230" i="5"/>
  <c r="A231" i="5"/>
  <c r="A232" i="5"/>
  <c r="A233" i="5"/>
  <c r="A234" i="5"/>
  <c r="A235" i="5"/>
  <c r="A236" i="5"/>
  <c r="A237" i="5"/>
  <c r="A238" i="5"/>
  <c r="A182" i="5" l="1"/>
  <c r="A183" i="5"/>
  <c r="A184" i="5"/>
  <c r="A185" i="5"/>
  <c r="A186" i="5"/>
  <c r="A187" i="5"/>
  <c r="A188" i="5"/>
  <c r="A189" i="5"/>
  <c r="A190" i="5"/>
  <c r="A191" i="5"/>
  <c r="A192" i="5"/>
  <c r="A193" i="5"/>
  <c r="A194" i="5"/>
  <c r="A195" i="5"/>
  <c r="A196" i="5"/>
  <c r="A197" i="5"/>
  <c r="A198" i="5"/>
  <c r="A199" i="5"/>
  <c r="A200" i="5"/>
  <c r="A201" i="5"/>
  <c r="A202" i="5"/>
  <c r="A203" i="5"/>
  <c r="A204" i="5"/>
  <c r="A205" i="5"/>
  <c r="A206" i="5"/>
  <c r="A207" i="5"/>
  <c r="A208" i="5"/>
  <c r="A209" i="5"/>
  <c r="A210" i="5"/>
  <c r="A211" i="5"/>
  <c r="A154" i="5"/>
  <c r="A155" i="5"/>
  <c r="A156" i="5"/>
  <c r="A157" i="5"/>
  <c r="A158" i="5"/>
  <c r="A159" i="5"/>
  <c r="A160" i="5"/>
  <c r="A161" i="5"/>
  <c r="A162" i="5"/>
  <c r="A163" i="5"/>
  <c r="A164" i="5"/>
  <c r="A165" i="5"/>
  <c r="A166" i="5"/>
  <c r="A167" i="5"/>
  <c r="A168" i="5"/>
  <c r="A169" i="5"/>
  <c r="A170" i="5"/>
  <c r="A171" i="5"/>
  <c r="A172" i="5"/>
  <c r="A173" i="5"/>
  <c r="A174" i="5"/>
  <c r="A175" i="5"/>
  <c r="A176" i="5"/>
  <c r="A177" i="5"/>
  <c r="A178" i="5"/>
  <c r="A179" i="5"/>
  <c r="A180" i="5"/>
  <c r="A181" i="5"/>
  <c r="A132" i="5" l="1"/>
  <c r="A133" i="5"/>
  <c r="A134" i="5"/>
  <c r="A135" i="5"/>
  <c r="A136" i="5"/>
  <c r="A137" i="5"/>
  <c r="A138" i="5"/>
  <c r="A139" i="5"/>
  <c r="A140" i="5"/>
  <c r="A141" i="5"/>
  <c r="A142" i="5"/>
  <c r="A143" i="5"/>
  <c r="A144" i="5"/>
  <c r="A145" i="5"/>
  <c r="A146" i="5"/>
  <c r="A147" i="5"/>
  <c r="A148" i="5"/>
  <c r="A149" i="5"/>
  <c r="A150" i="5"/>
  <c r="A151" i="5"/>
  <c r="A152" i="5"/>
  <c r="A153" i="5"/>
  <c r="A107" i="5" l="1"/>
  <c r="A108" i="5"/>
  <c r="A109" i="5"/>
  <c r="A110" i="5"/>
  <c r="A111" i="5"/>
  <c r="A112" i="5"/>
  <c r="A113" i="5"/>
  <c r="A114" i="5"/>
  <c r="A115" i="5"/>
  <c r="A116" i="5"/>
  <c r="A117" i="5"/>
  <c r="A118" i="5"/>
  <c r="A119" i="5"/>
  <c r="A120" i="5"/>
  <c r="A121" i="5"/>
  <c r="A122" i="5"/>
  <c r="A123" i="5"/>
  <c r="A124" i="5"/>
  <c r="A125" i="5"/>
  <c r="A126" i="5"/>
  <c r="A127" i="5"/>
  <c r="A128" i="5"/>
  <c r="A129" i="5"/>
  <c r="A130" i="5"/>
  <c r="A131" i="5"/>
  <c r="A85" i="5" l="1"/>
  <c r="A86" i="5"/>
  <c r="A87" i="5"/>
  <c r="A88" i="5"/>
  <c r="A89" i="5"/>
  <c r="A90" i="5"/>
  <c r="A91" i="5"/>
  <c r="A92" i="5"/>
  <c r="A93" i="5"/>
  <c r="A94" i="5"/>
  <c r="A95" i="5"/>
  <c r="A96" i="5"/>
  <c r="A97" i="5"/>
  <c r="A98" i="5"/>
  <c r="A99" i="5"/>
  <c r="A100" i="5"/>
  <c r="A101" i="5"/>
  <c r="A102" i="5"/>
  <c r="A103" i="5"/>
  <c r="A104" i="5"/>
  <c r="A105" i="5"/>
  <c r="A106" i="5"/>
  <c r="A72" i="5"/>
  <c r="A73" i="5"/>
  <c r="A74" i="5"/>
  <c r="A75" i="5"/>
  <c r="A76" i="5"/>
  <c r="A77" i="5"/>
  <c r="A78" i="5"/>
  <c r="A79" i="5"/>
  <c r="A80" i="5"/>
  <c r="A81" i="5"/>
  <c r="A82" i="5"/>
  <c r="A83" i="5"/>
  <c r="A84" i="5"/>
  <c r="A49" i="5" l="1"/>
  <c r="A50" i="5"/>
  <c r="A51" i="5"/>
  <c r="A52" i="5"/>
  <c r="A53" i="5"/>
  <c r="A54" i="5"/>
  <c r="A55" i="5"/>
  <c r="A56" i="5"/>
  <c r="A57" i="5"/>
  <c r="A58" i="5"/>
  <c r="A59" i="5"/>
  <c r="A60" i="5"/>
  <c r="A61" i="5"/>
  <c r="A62" i="5"/>
  <c r="A63" i="5"/>
  <c r="A64" i="5"/>
  <c r="A65" i="5"/>
  <c r="A66" i="5"/>
  <c r="A67" i="5"/>
  <c r="A68" i="5"/>
  <c r="A69" i="5"/>
  <c r="A70" i="5"/>
  <c r="A71" i="5"/>
  <c r="B33" i="4"/>
  <c r="F22" i="4"/>
  <c r="A3" i="5" l="1"/>
  <c r="A4" i="5"/>
  <c r="A5" i="5"/>
  <c r="A6" i="5"/>
  <c r="A7" i="5"/>
  <c r="A8" i="5"/>
  <c r="A9" i="5"/>
  <c r="A10" i="5"/>
  <c r="A11" i="5"/>
  <c r="A12" i="5"/>
  <c r="A13" i="5"/>
  <c r="A14" i="5"/>
  <c r="A15" i="5"/>
  <c r="A16" i="5"/>
  <c r="A17" i="5"/>
  <c r="A18" i="5"/>
  <c r="A19" i="5"/>
  <c r="A20" i="5"/>
  <c r="A21" i="5"/>
  <c r="A22" i="5"/>
  <c r="A23" i="5"/>
  <c r="A24" i="5"/>
  <c r="A25" i="5"/>
  <c r="A26" i="5"/>
  <c r="A27" i="5"/>
  <c r="A28" i="5"/>
  <c r="A29" i="5"/>
  <c r="A30" i="5"/>
  <c r="A31" i="5"/>
  <c r="A32" i="5"/>
  <c r="A33" i="5"/>
  <c r="A34" i="5"/>
  <c r="A35" i="5"/>
  <c r="A36" i="5"/>
  <c r="A37" i="5"/>
  <c r="A38" i="5"/>
  <c r="A39" i="5"/>
  <c r="A40" i="5"/>
  <c r="A41" i="5"/>
  <c r="A42" i="5"/>
  <c r="A43" i="5"/>
  <c r="A44" i="5"/>
  <c r="A45" i="5"/>
  <c r="A46" i="5"/>
  <c r="A47" i="5"/>
  <c r="A48" i="5"/>
  <c r="A2"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杨阳</author>
    <author>Unknown User</author>
  </authors>
  <commentList>
    <comment ref="B1" authorId="0" shapeId="0" xr:uid="{DC1F0908-6D4D-4915-8248-A73E060F28EB}">
      <text>
        <r>
          <rPr>
            <b/>
            <sz val="9"/>
            <color indexed="81"/>
            <rFont val="宋体"/>
            <family val="3"/>
            <charset val="134"/>
          </rPr>
          <t>橘色是25年延续到26年的项目</t>
        </r>
        <r>
          <rPr>
            <sz val="9"/>
            <color indexed="81"/>
            <rFont val="宋体"/>
            <family val="3"/>
            <charset val="134"/>
          </rPr>
          <t xml:space="preserve">
</t>
        </r>
      </text>
    </comment>
    <comment ref="S3" authorId="0" shapeId="0" xr:uid="{FB9CF64B-8522-4B6E-A4BF-5005D7B4679A}">
      <text>
        <r>
          <rPr>
            <b/>
            <sz val="9"/>
            <color indexed="81"/>
            <rFont val="宋体"/>
            <family val="3"/>
            <charset val="134"/>
          </rPr>
          <t>二期我们未参与</t>
        </r>
        <r>
          <rPr>
            <sz val="9"/>
            <color indexed="81"/>
            <rFont val="宋体"/>
            <family val="3"/>
            <charset val="134"/>
          </rPr>
          <t xml:space="preserve">
</t>
        </r>
      </text>
    </comment>
    <comment ref="N14" authorId="0" shapeId="0" xr:uid="{D1C7206C-4C77-406B-97EF-FD3F00303B78}">
      <text>
        <r>
          <rPr>
            <b/>
            <sz val="9"/>
            <color indexed="81"/>
            <rFont val="宋体"/>
            <family val="3"/>
            <charset val="134"/>
          </rPr>
          <t>博太科系统48万</t>
        </r>
      </text>
    </comment>
    <comment ref="S14" authorId="0" shapeId="0" xr:uid="{1D345F65-8DD9-4CC6-9ABF-42805F89E008}">
      <text>
        <r>
          <rPr>
            <sz val="9"/>
            <color indexed="81"/>
            <rFont val="宋体"/>
            <family val="3"/>
            <charset val="134"/>
          </rPr>
          <t xml:space="preserve">和联创签的
</t>
        </r>
      </text>
    </comment>
    <comment ref="N16" authorId="0" shapeId="0" xr:uid="{B936B1E9-80E0-4BCD-9C48-2BD70F357A65}">
      <text>
        <r>
          <rPr>
            <b/>
            <sz val="9"/>
            <color indexed="81"/>
            <rFont val="宋体"/>
            <family val="3"/>
            <charset val="134"/>
          </rPr>
          <t>一间教室中标</t>
        </r>
        <r>
          <rPr>
            <sz val="9"/>
            <color indexed="81"/>
            <rFont val="宋体"/>
            <family val="3"/>
            <charset val="134"/>
          </rPr>
          <t xml:space="preserve">
</t>
        </r>
      </text>
    </comment>
    <comment ref="N18" authorId="0" shapeId="0" xr:uid="{086B0C21-BCA8-4A01-A174-D325C864C71D}">
      <text>
        <r>
          <rPr>
            <b/>
            <sz val="9"/>
            <color indexed="81"/>
            <rFont val="宋体"/>
            <family val="3"/>
            <charset val="134"/>
          </rPr>
          <t xml:space="preserve">子项一：“校园卡系统”中标：
</t>
        </r>
        <r>
          <rPr>
            <sz val="9"/>
            <color indexed="81"/>
            <rFont val="宋体"/>
            <family val="3"/>
            <charset val="134"/>
          </rPr>
          <t xml:space="preserve">
子项二：“校园安防系统”未中标（4189985）</t>
        </r>
      </text>
    </comment>
    <comment ref="R22" authorId="0" shapeId="0" xr:uid="{0E47BA3E-39B2-41AD-8D92-10021693E92F}">
      <text>
        <r>
          <rPr>
            <b/>
            <sz val="9"/>
            <color indexed="81"/>
            <rFont val="宋体"/>
            <family val="3"/>
            <charset val="134"/>
          </rPr>
          <t>创建标书封标</t>
        </r>
        <r>
          <rPr>
            <sz val="9"/>
            <color indexed="81"/>
            <rFont val="宋体"/>
            <family val="3"/>
            <charset val="134"/>
          </rPr>
          <t xml:space="preserve">
</t>
        </r>
      </text>
    </comment>
    <comment ref="L26" authorId="0" shapeId="0" xr:uid="{74ACECFD-C88C-484C-9ED1-E3F514AE586D}">
      <text>
        <r>
          <rPr>
            <b/>
            <sz val="9"/>
            <color indexed="81"/>
            <rFont val="宋体"/>
            <family val="3"/>
            <charset val="134"/>
          </rPr>
          <t>原预算金额1200W</t>
        </r>
        <r>
          <rPr>
            <sz val="9"/>
            <color indexed="81"/>
            <rFont val="宋体"/>
            <family val="3"/>
            <charset val="134"/>
          </rPr>
          <t xml:space="preserve">
</t>
        </r>
      </text>
    </comment>
    <comment ref="R27" authorId="0" shapeId="0" xr:uid="{A85365CB-73D8-4B61-8ADE-EC5851807818}">
      <text>
        <r>
          <rPr>
            <b/>
            <sz val="9"/>
            <color indexed="81"/>
            <rFont val="宋体"/>
            <family val="3"/>
            <charset val="134"/>
          </rPr>
          <t>易智陪标</t>
        </r>
        <r>
          <rPr>
            <sz val="9"/>
            <color indexed="81"/>
            <rFont val="宋体"/>
            <family val="3"/>
            <charset val="134"/>
          </rPr>
          <t xml:space="preserve">
</t>
        </r>
      </text>
    </comment>
    <comment ref="S28" authorId="0" shapeId="0" xr:uid="{2AC4375D-F229-413D-B289-35261F4F059B}">
      <text>
        <r>
          <rPr>
            <b/>
            <sz val="9"/>
            <color indexed="81"/>
            <rFont val="宋体"/>
            <family val="3"/>
            <charset val="134"/>
          </rPr>
          <t>"北京鼎合思锐"名义中标，正元甲方和坚果乙方，合同价16326416</t>
        </r>
        <r>
          <rPr>
            <sz val="9"/>
            <color indexed="81"/>
            <rFont val="宋体"/>
            <family val="3"/>
            <charset val="134"/>
          </rPr>
          <t xml:space="preserve">
</t>
        </r>
      </text>
    </comment>
    <comment ref="N46" authorId="0" shapeId="0" xr:uid="{04725F17-FE3C-4FCA-99CB-67F0A4D273CA}">
      <text>
        <r>
          <rPr>
            <b/>
            <sz val="9"/>
            <color indexed="81"/>
            <rFont val="宋体"/>
            <family val="3"/>
            <charset val="134"/>
          </rPr>
          <t>3个合同</t>
        </r>
        <r>
          <rPr>
            <sz val="9"/>
            <color indexed="81"/>
            <rFont val="宋体"/>
            <family val="3"/>
            <charset val="134"/>
          </rPr>
          <t xml:space="preserve">
</t>
        </r>
      </text>
    </comment>
    <comment ref="N48" authorId="0" shapeId="0" xr:uid="{A2900554-6D0E-4584-B5A2-FC37E1140DB0}">
      <text>
        <r>
          <rPr>
            <b/>
            <sz val="9"/>
            <color indexed="81"/>
            <rFont val="宋体"/>
            <family val="3"/>
            <charset val="134"/>
          </rPr>
          <t>两个合同</t>
        </r>
        <r>
          <rPr>
            <sz val="9"/>
            <color indexed="81"/>
            <rFont val="宋体"/>
            <family val="3"/>
            <charset val="134"/>
          </rPr>
          <t xml:space="preserve">
</t>
        </r>
      </text>
    </comment>
    <comment ref="N63" authorId="0" shapeId="0" xr:uid="{30396583-3A57-45B5-B8F4-225B665F1C41}">
      <text>
        <r>
          <rPr>
            <b/>
            <sz val="9"/>
            <color indexed="81"/>
            <rFont val="宋体"/>
            <family val="3"/>
            <charset val="134"/>
          </rPr>
          <t>两个合同</t>
        </r>
        <r>
          <rPr>
            <sz val="9"/>
            <color indexed="81"/>
            <rFont val="宋体"/>
            <family val="3"/>
            <charset val="134"/>
          </rPr>
          <t xml:space="preserve">
</t>
        </r>
      </text>
    </comment>
    <comment ref="S65" authorId="0" shapeId="0" xr:uid="{E59D0C7F-2938-43BF-8AC4-F044D737731D}">
      <text>
        <r>
          <rPr>
            <b/>
            <sz val="9"/>
            <color indexed="81"/>
            <rFont val="宋体"/>
            <family val="3"/>
            <charset val="134"/>
          </rPr>
          <t>未搜到出货记录</t>
        </r>
        <r>
          <rPr>
            <sz val="9"/>
            <color indexed="81"/>
            <rFont val="宋体"/>
            <family val="3"/>
            <charset val="134"/>
          </rPr>
          <t xml:space="preserve">
</t>
        </r>
      </text>
    </comment>
    <comment ref="S68" authorId="0" shapeId="0" xr:uid="{10A8604C-660D-4640-BFB7-22C7BA194C0E}">
      <text>
        <r>
          <rPr>
            <b/>
            <sz val="9"/>
            <color indexed="81"/>
            <rFont val="宋体"/>
            <family val="3"/>
            <charset val="134"/>
          </rPr>
          <t>未搜到出货记录</t>
        </r>
        <r>
          <rPr>
            <sz val="9"/>
            <color indexed="81"/>
            <rFont val="宋体"/>
            <family val="3"/>
            <charset val="134"/>
          </rPr>
          <t xml:space="preserve">
</t>
        </r>
      </text>
    </comment>
    <comment ref="M87" authorId="1" shapeId="0" xr:uid="{181242CD-0C3F-4EDB-AACE-7B77C5F9E413}">
      <text>
        <r>
          <rPr>
            <sz val="12"/>
            <color theme="1"/>
            <rFont val="宋体"/>
            <family val="2"/>
            <charset val="134"/>
            <scheme val="minor"/>
          </rPr>
          <t>该商机最终可能不会以项目的形式存在
  - 李靖翔</t>
        </r>
      </text>
    </comment>
  </commentList>
</comments>
</file>

<file path=xl/sharedStrings.xml><?xml version="1.0" encoding="utf-8"?>
<sst xmlns="http://schemas.openxmlformats.org/spreadsheetml/2006/main" count="7071" uniqueCount="2996">
  <si>
    <t>序号</t>
    <phoneticPr fontId="1" type="noConversion"/>
  </si>
  <si>
    <t>项目名称</t>
    <phoneticPr fontId="1" type="noConversion"/>
  </si>
  <si>
    <t>项目客户</t>
    <phoneticPr fontId="1" type="noConversion"/>
  </si>
  <si>
    <t>预算金额</t>
    <phoneticPr fontId="1" type="noConversion"/>
  </si>
  <si>
    <t>新乡职业智慧校园</t>
    <phoneticPr fontId="1" type="noConversion"/>
  </si>
  <si>
    <t>区域</t>
    <phoneticPr fontId="1" type="noConversion"/>
  </si>
  <si>
    <t>河南</t>
    <phoneticPr fontId="1" type="noConversion"/>
  </si>
  <si>
    <t>状态</t>
    <phoneticPr fontId="1" type="noConversion"/>
  </si>
  <si>
    <t>中标</t>
    <phoneticPr fontId="1" type="noConversion"/>
  </si>
  <si>
    <t>智慧校园</t>
    <phoneticPr fontId="1" type="noConversion"/>
  </si>
  <si>
    <t>政企一卡通</t>
  </si>
  <si>
    <t>政企一卡通</t>
    <phoneticPr fontId="1" type="noConversion"/>
  </si>
  <si>
    <t>浙江省移动公司</t>
    <phoneticPr fontId="1" type="noConversion"/>
  </si>
  <si>
    <t>大数据</t>
    <phoneticPr fontId="1" type="noConversion"/>
  </si>
  <si>
    <t>二级项目类型</t>
    <phoneticPr fontId="1" type="noConversion"/>
  </si>
  <si>
    <t>预警</t>
    <phoneticPr fontId="1" type="noConversion"/>
  </si>
  <si>
    <t>河北</t>
    <phoneticPr fontId="1" type="noConversion"/>
  </si>
  <si>
    <t>河北地质大学校级预警中心</t>
    <phoneticPr fontId="1" type="noConversion"/>
  </si>
  <si>
    <t>河北地质大学</t>
    <phoneticPr fontId="1" type="noConversion"/>
  </si>
  <si>
    <t>方案</t>
    <phoneticPr fontId="1" type="noConversion"/>
  </si>
  <si>
    <t>北京邮电智慧思政</t>
    <phoneticPr fontId="1" type="noConversion"/>
  </si>
  <si>
    <t>智慧思政</t>
    <phoneticPr fontId="1" type="noConversion"/>
  </si>
  <si>
    <t>北京</t>
    <phoneticPr fontId="1" type="noConversion"/>
  </si>
  <si>
    <t>北京邮电大学</t>
    <phoneticPr fontId="1" type="noConversion"/>
  </si>
  <si>
    <t>三级项目类型</t>
    <phoneticPr fontId="1" type="noConversion"/>
  </si>
  <si>
    <t>天津</t>
    <phoneticPr fontId="1" type="noConversion"/>
  </si>
  <si>
    <t>天津理工大学</t>
    <phoneticPr fontId="1" type="noConversion"/>
  </si>
  <si>
    <t>申报</t>
    <phoneticPr fontId="1" type="noConversion"/>
  </si>
  <si>
    <t>控标</t>
    <phoneticPr fontId="1" type="noConversion"/>
  </si>
  <si>
    <t>永康五金职业二期智慧校园</t>
    <phoneticPr fontId="1" type="noConversion"/>
  </si>
  <si>
    <t>总包</t>
    <phoneticPr fontId="1" type="noConversion"/>
  </si>
  <si>
    <t>一卡通</t>
    <phoneticPr fontId="1" type="noConversion"/>
  </si>
  <si>
    <t>金华</t>
    <phoneticPr fontId="1" type="noConversion"/>
  </si>
  <si>
    <t>丢标</t>
    <phoneticPr fontId="1" type="noConversion"/>
  </si>
  <si>
    <t>台州学院建行投资过单项目</t>
    <phoneticPr fontId="1" type="noConversion"/>
  </si>
  <si>
    <t>台州学院</t>
    <phoneticPr fontId="1" type="noConversion"/>
  </si>
  <si>
    <t>山东</t>
    <phoneticPr fontId="1" type="noConversion"/>
  </si>
  <si>
    <t>台州市国网电力绿智食堂</t>
    <phoneticPr fontId="1" type="noConversion"/>
  </si>
  <si>
    <t>电力绿智食堂</t>
    <phoneticPr fontId="1" type="noConversion"/>
  </si>
  <si>
    <t>浙江国网</t>
    <phoneticPr fontId="1" type="noConversion"/>
  </si>
  <si>
    <t>盐城工业职业智慧思政</t>
    <phoneticPr fontId="1" type="noConversion"/>
  </si>
  <si>
    <t>华东</t>
    <phoneticPr fontId="1" type="noConversion"/>
  </si>
  <si>
    <t>交流</t>
    <phoneticPr fontId="1" type="noConversion"/>
  </si>
  <si>
    <t>南方科技大学</t>
    <phoneticPr fontId="1" type="noConversion"/>
  </si>
  <si>
    <t>深圳</t>
    <phoneticPr fontId="1" type="noConversion"/>
  </si>
  <si>
    <t>北交大威海IOC中心二期</t>
    <phoneticPr fontId="1" type="noConversion"/>
  </si>
  <si>
    <t>数字孪生</t>
    <phoneticPr fontId="1" type="noConversion"/>
  </si>
  <si>
    <t>湖南省绿智食堂</t>
    <phoneticPr fontId="1" type="noConversion"/>
  </si>
  <si>
    <t>湖南</t>
    <phoneticPr fontId="1" type="noConversion"/>
  </si>
  <si>
    <t>湖南国网</t>
    <phoneticPr fontId="1" type="noConversion"/>
  </si>
  <si>
    <t>浙江省电力科学院绿智食堂</t>
    <phoneticPr fontId="1" type="noConversion"/>
  </si>
  <si>
    <t>支持密度</t>
    <phoneticPr fontId="1" type="noConversion"/>
  </si>
  <si>
    <t>嘉兴桐乡电力绿智食堂</t>
    <phoneticPr fontId="1" type="noConversion"/>
  </si>
  <si>
    <t>常态化跟进</t>
    <phoneticPr fontId="1" type="noConversion"/>
  </si>
  <si>
    <t>高</t>
    <phoneticPr fontId="1" type="noConversion"/>
  </si>
  <si>
    <t>山东交通学院智慧思政</t>
    <phoneticPr fontId="1" type="noConversion"/>
  </si>
  <si>
    <t>山东交通学院</t>
    <phoneticPr fontId="1" type="noConversion"/>
  </si>
  <si>
    <t>高校一卡通</t>
    <phoneticPr fontId="1" type="noConversion"/>
  </si>
  <si>
    <t>中国石油大学一卡通</t>
    <phoneticPr fontId="1" type="noConversion"/>
  </si>
  <si>
    <t>数据中心</t>
    <phoneticPr fontId="1" type="noConversion"/>
  </si>
  <si>
    <t>强跟进</t>
    <phoneticPr fontId="1" type="noConversion"/>
  </si>
  <si>
    <t>宁波工程学院</t>
    <phoneticPr fontId="1" type="noConversion"/>
  </si>
  <si>
    <t>宁波工程学院水电控升级</t>
    <phoneticPr fontId="1" type="noConversion"/>
  </si>
  <si>
    <t>宁波</t>
    <phoneticPr fontId="1" type="noConversion"/>
  </si>
  <si>
    <t>电子科技大学</t>
    <phoneticPr fontId="1" type="noConversion"/>
  </si>
  <si>
    <t>四川</t>
    <phoneticPr fontId="1" type="noConversion"/>
  </si>
  <si>
    <t>河北工程大学智慧思政一站式社区</t>
    <phoneticPr fontId="1" type="noConversion"/>
  </si>
  <si>
    <t>河北工程大学</t>
    <phoneticPr fontId="1" type="noConversion"/>
  </si>
  <si>
    <t>天津仁爱预警项目</t>
    <phoneticPr fontId="1" type="noConversion"/>
  </si>
  <si>
    <t>天津仁爱学院</t>
    <phoneticPr fontId="1" type="noConversion"/>
  </si>
  <si>
    <t>北师大丽水实验学校安全感知</t>
    <phoneticPr fontId="1" type="noConversion"/>
  </si>
  <si>
    <t>丽水</t>
    <phoneticPr fontId="1" type="noConversion"/>
  </si>
  <si>
    <t>大连理工宁波研究院智慧校园</t>
    <phoneticPr fontId="1" type="noConversion"/>
  </si>
  <si>
    <t>衢州职业新校区EPC总包</t>
    <phoneticPr fontId="1" type="noConversion"/>
  </si>
  <si>
    <t>山东农业工程学院一卡通升级</t>
    <phoneticPr fontId="1" type="noConversion"/>
  </si>
  <si>
    <t>山东农业工程学院</t>
    <phoneticPr fontId="1" type="noConversion"/>
  </si>
  <si>
    <t>河南信息科技学院一卡通建设</t>
    <phoneticPr fontId="1" type="noConversion"/>
  </si>
  <si>
    <t>广西移动智慧餐厅信创升级改造</t>
    <phoneticPr fontId="1" type="noConversion"/>
  </si>
  <si>
    <t>信创</t>
    <phoneticPr fontId="1" type="noConversion"/>
  </si>
  <si>
    <t>广西</t>
    <phoneticPr fontId="1" type="noConversion"/>
  </si>
  <si>
    <t>广西移动</t>
    <phoneticPr fontId="1" type="noConversion"/>
  </si>
  <si>
    <t>杭州市委党校一卡通信创升级改造项目</t>
    <phoneticPr fontId="1" type="noConversion"/>
  </si>
  <si>
    <t>杭州</t>
    <phoneticPr fontId="1" type="noConversion"/>
  </si>
  <si>
    <t>杭州市委党校</t>
    <phoneticPr fontId="1" type="noConversion"/>
  </si>
  <si>
    <t>黑龙江</t>
    <phoneticPr fontId="1" type="noConversion"/>
  </si>
  <si>
    <t>黑龙江东方学院</t>
    <phoneticPr fontId="1" type="noConversion"/>
  </si>
  <si>
    <t>黑龙江东方学院智慧校园</t>
    <phoneticPr fontId="1" type="noConversion"/>
  </si>
  <si>
    <t>黑龙江医护高等专科学校智慧校园</t>
    <phoneticPr fontId="1" type="noConversion"/>
  </si>
  <si>
    <t>河北地质大学新校区智慧校园二期</t>
    <phoneticPr fontId="1" type="noConversion"/>
  </si>
  <si>
    <t>电子科技大学深圳高研院</t>
    <phoneticPr fontId="1" type="noConversion"/>
  </si>
  <si>
    <t>物联</t>
    <phoneticPr fontId="1" type="noConversion"/>
  </si>
  <si>
    <t>山西</t>
    <phoneticPr fontId="1" type="noConversion"/>
  </si>
  <si>
    <t>山西长治学院智慧校园总包</t>
    <phoneticPr fontId="1" type="noConversion"/>
  </si>
  <si>
    <t>江西步兵学院一卡通</t>
    <phoneticPr fontId="1" type="noConversion"/>
  </si>
  <si>
    <t>江西</t>
    <phoneticPr fontId="1" type="noConversion"/>
  </si>
  <si>
    <t>江西步兵学院</t>
    <phoneticPr fontId="1" type="noConversion"/>
  </si>
  <si>
    <t>杭州医学院物联平台</t>
    <phoneticPr fontId="1" type="noConversion"/>
  </si>
  <si>
    <t>物联平台</t>
    <phoneticPr fontId="1" type="noConversion"/>
  </si>
  <si>
    <t>浙江理工科学艺术学院数字与人项目</t>
    <phoneticPr fontId="1" type="noConversion"/>
  </si>
  <si>
    <t>绍兴</t>
    <phoneticPr fontId="1" type="noConversion"/>
  </si>
  <si>
    <t>北京林业大学雄安校区物联平台</t>
    <phoneticPr fontId="1" type="noConversion"/>
  </si>
  <si>
    <t>中国石油大学克拉玛依校区智慧校园</t>
    <phoneticPr fontId="1" type="noConversion"/>
  </si>
  <si>
    <t>新疆</t>
    <phoneticPr fontId="1" type="noConversion"/>
  </si>
  <si>
    <t>中国农业大学一卡通</t>
    <phoneticPr fontId="1" type="noConversion"/>
  </si>
  <si>
    <t>中国农业大学</t>
    <phoneticPr fontId="1" type="noConversion"/>
  </si>
  <si>
    <t>标杆校申报</t>
    <phoneticPr fontId="1" type="noConversion"/>
  </si>
  <si>
    <t>云南</t>
    <phoneticPr fontId="1" type="noConversion"/>
  </si>
  <si>
    <t>浙江电力工程交易中心绿智食堂</t>
    <phoneticPr fontId="1" type="noConversion"/>
  </si>
  <si>
    <t>黑龙江科技数据中心</t>
    <phoneticPr fontId="1" type="noConversion"/>
  </si>
  <si>
    <t>黑龙江科技智慧学工</t>
    <phoneticPr fontId="1" type="noConversion"/>
  </si>
  <si>
    <t>黑龙江农业工程数字孪生</t>
    <phoneticPr fontId="1" type="noConversion"/>
  </si>
  <si>
    <t>智慧教室空间</t>
    <phoneticPr fontId="1" type="noConversion"/>
  </si>
  <si>
    <t>山东外事智慧教室空间改造</t>
    <phoneticPr fontId="1" type="noConversion"/>
  </si>
  <si>
    <t>北交大威海智慧教室空间改造</t>
    <phoneticPr fontId="1" type="noConversion"/>
  </si>
  <si>
    <t>丽水青田电力绿智食堂</t>
    <phoneticPr fontId="1" type="noConversion"/>
  </si>
  <si>
    <t>宁波市局电力绿智食堂</t>
    <phoneticPr fontId="1" type="noConversion"/>
  </si>
  <si>
    <t>浙江省教育厅思政平台</t>
    <phoneticPr fontId="1" type="noConversion"/>
  </si>
  <si>
    <t>浙江省教育厅</t>
    <phoneticPr fontId="1" type="noConversion"/>
  </si>
  <si>
    <t>湖南远大职业智慧校园</t>
    <phoneticPr fontId="1" type="noConversion"/>
  </si>
  <si>
    <t>校园大脑</t>
    <phoneticPr fontId="1" type="noConversion"/>
  </si>
  <si>
    <t>浙江万里学院</t>
    <phoneticPr fontId="1" type="noConversion"/>
  </si>
  <si>
    <t>浙江省建行智慧食堂场景智能设备采购</t>
    <phoneticPr fontId="1" type="noConversion"/>
  </si>
  <si>
    <t>智慧后勤</t>
    <phoneticPr fontId="1" type="noConversion"/>
  </si>
  <si>
    <t>电子科技大学水电控采购</t>
    <phoneticPr fontId="1" type="noConversion"/>
  </si>
  <si>
    <t>设备采购</t>
    <phoneticPr fontId="1" type="noConversion"/>
  </si>
  <si>
    <t>宁波市委党校信创改造</t>
    <phoneticPr fontId="1" type="noConversion"/>
  </si>
  <si>
    <t>宁波市委党校</t>
    <phoneticPr fontId="1" type="noConversion"/>
  </si>
  <si>
    <t>电子科技大学智慧教室空间改造</t>
    <phoneticPr fontId="1" type="noConversion"/>
  </si>
  <si>
    <t>浙江万里物联项目</t>
    <phoneticPr fontId="1" type="noConversion"/>
  </si>
  <si>
    <t>山西临汾职业智慧教室环境项目</t>
    <phoneticPr fontId="1" type="noConversion"/>
  </si>
  <si>
    <t>贵州医科大学照明物联项目</t>
    <phoneticPr fontId="1" type="noConversion"/>
  </si>
  <si>
    <t>光照控制</t>
    <phoneticPr fontId="1" type="noConversion"/>
  </si>
  <si>
    <t>贵州医科大学</t>
    <phoneticPr fontId="1" type="noConversion"/>
  </si>
  <si>
    <t>大连海事智慧思政项目</t>
    <phoneticPr fontId="1" type="noConversion"/>
  </si>
  <si>
    <t>大连海事大学</t>
    <phoneticPr fontId="1" type="noConversion"/>
  </si>
  <si>
    <t>莆田科技职业技术学校标杆校建设</t>
    <phoneticPr fontId="1" type="noConversion"/>
  </si>
  <si>
    <t>福建</t>
    <phoneticPr fontId="1" type="noConversion"/>
  </si>
  <si>
    <t>莆田职业技术学校</t>
    <phoneticPr fontId="1" type="noConversion"/>
  </si>
  <si>
    <t>宁波望京路电力绿智食堂</t>
    <phoneticPr fontId="1" type="noConversion"/>
  </si>
  <si>
    <t>宁波望京路电力</t>
    <phoneticPr fontId="1" type="noConversion"/>
  </si>
  <si>
    <t>青海理工学院</t>
    <phoneticPr fontId="1" type="noConversion"/>
  </si>
  <si>
    <t>湖北</t>
    <phoneticPr fontId="1" type="noConversion"/>
  </si>
  <si>
    <t>三峡大学</t>
    <phoneticPr fontId="1" type="noConversion"/>
  </si>
  <si>
    <t>哈尔滨师范大学融合平台项目</t>
    <phoneticPr fontId="1" type="noConversion"/>
  </si>
  <si>
    <t>哈尔滨师范大学</t>
    <phoneticPr fontId="1" type="noConversion"/>
  </si>
  <si>
    <t>江西省电力绿智食堂</t>
    <phoneticPr fontId="1" type="noConversion"/>
  </si>
  <si>
    <t>江西省国网</t>
    <phoneticPr fontId="1" type="noConversion"/>
  </si>
  <si>
    <t>清华大学一体化出入</t>
    <phoneticPr fontId="1" type="noConversion"/>
  </si>
  <si>
    <t>一体化出入</t>
    <phoneticPr fontId="1" type="noConversion"/>
  </si>
  <si>
    <t>清华大学</t>
    <phoneticPr fontId="1" type="noConversion"/>
  </si>
  <si>
    <t>西南林业大学</t>
    <phoneticPr fontId="1" type="noConversion"/>
  </si>
  <si>
    <t>湖州</t>
    <phoneticPr fontId="1" type="noConversion"/>
  </si>
  <si>
    <t>燕京理工学院数据中台</t>
    <phoneticPr fontId="1" type="noConversion"/>
  </si>
  <si>
    <t>燕京理工学院</t>
    <phoneticPr fontId="1" type="noConversion"/>
  </si>
  <si>
    <t>浙江交通职业技术学院信创改造升级方案</t>
    <phoneticPr fontId="1" type="noConversion"/>
  </si>
  <si>
    <t>浙江交通职业技术学院</t>
    <phoneticPr fontId="1" type="noConversion"/>
  </si>
  <si>
    <t>临安电力绿智食堂</t>
    <phoneticPr fontId="1" type="noConversion"/>
  </si>
  <si>
    <t>一网通办</t>
    <phoneticPr fontId="1" type="noConversion"/>
  </si>
  <si>
    <t>温州商学院校级人脸平台</t>
    <phoneticPr fontId="1" type="noConversion"/>
  </si>
  <si>
    <t>人脸库</t>
    <phoneticPr fontId="1" type="noConversion"/>
  </si>
  <si>
    <t>温州商学院</t>
    <phoneticPr fontId="1" type="noConversion"/>
  </si>
  <si>
    <t>滨州职业学院</t>
    <phoneticPr fontId="1" type="noConversion"/>
  </si>
  <si>
    <t>滨州职业学院身份核验项目</t>
    <phoneticPr fontId="1" type="noConversion"/>
  </si>
  <si>
    <t>南通市机关事务管理局通刷</t>
    <phoneticPr fontId="1" type="noConversion"/>
  </si>
  <si>
    <t>娄底中学项目招标</t>
    <phoneticPr fontId="1" type="noConversion"/>
  </si>
  <si>
    <t>济南大学物联校园</t>
    <phoneticPr fontId="1" type="noConversion"/>
  </si>
  <si>
    <t>济南大学</t>
    <phoneticPr fontId="1" type="noConversion"/>
  </si>
  <si>
    <t>浙大图书馆物联</t>
    <phoneticPr fontId="1" type="noConversion"/>
  </si>
  <si>
    <t>浙江大学</t>
    <phoneticPr fontId="1" type="noConversion"/>
  </si>
  <si>
    <t>浙大通项目</t>
    <phoneticPr fontId="1" type="noConversion"/>
  </si>
  <si>
    <t>一码通</t>
    <phoneticPr fontId="1" type="noConversion"/>
  </si>
  <si>
    <t>澳门科技大学</t>
    <phoneticPr fontId="1" type="noConversion"/>
  </si>
  <si>
    <t>澳门</t>
    <phoneticPr fontId="1" type="noConversion"/>
  </si>
  <si>
    <t>哈尔滨体育学院智慧校园二期策划</t>
    <phoneticPr fontId="1" type="noConversion"/>
  </si>
  <si>
    <t>东北师范大学新一代一卡通建设</t>
    <phoneticPr fontId="1" type="noConversion"/>
  </si>
  <si>
    <t>东北师范大学</t>
    <phoneticPr fontId="1" type="noConversion"/>
  </si>
  <si>
    <t>唐山职业技术学院一卡通</t>
    <phoneticPr fontId="1" type="noConversion"/>
  </si>
  <si>
    <t>唐山职业技术学院</t>
    <phoneticPr fontId="1" type="noConversion"/>
  </si>
  <si>
    <t>智慧教室</t>
    <phoneticPr fontId="1" type="noConversion"/>
  </si>
  <si>
    <t>智慧教室录播</t>
    <phoneticPr fontId="1" type="noConversion"/>
  </si>
  <si>
    <t>浙江万里学院余姚校区智慧教室整体建设</t>
    <phoneticPr fontId="1" type="noConversion"/>
  </si>
  <si>
    <t>台州学院建行投资过单项目二期</t>
    <phoneticPr fontId="1" type="noConversion"/>
  </si>
  <si>
    <t>放弃</t>
    <phoneticPr fontId="1" type="noConversion"/>
  </si>
  <si>
    <t>庆元县绿智食堂</t>
    <phoneticPr fontId="1" type="noConversion"/>
  </si>
  <si>
    <t>云和县绿智食堂</t>
    <phoneticPr fontId="1" type="noConversion"/>
  </si>
  <si>
    <t>缙云县绿智食堂</t>
    <phoneticPr fontId="1" type="noConversion"/>
  </si>
  <si>
    <t>舟山电力绿智食堂</t>
    <phoneticPr fontId="1" type="noConversion"/>
  </si>
  <si>
    <t>浙江商业职业技术学院</t>
    <phoneticPr fontId="1" type="noConversion"/>
  </si>
  <si>
    <t>宁波大学科学技术学院</t>
    <phoneticPr fontId="1" type="noConversion"/>
  </si>
  <si>
    <t>西安邮电大学教室空调智能控制</t>
    <phoneticPr fontId="1" type="noConversion"/>
  </si>
  <si>
    <t>陕西</t>
    <phoneticPr fontId="1" type="noConversion"/>
  </si>
  <si>
    <t>西安邮电大学</t>
    <phoneticPr fontId="1" type="noConversion"/>
  </si>
  <si>
    <t>山东师范大学物联平台项目</t>
    <phoneticPr fontId="1" type="noConversion"/>
  </si>
  <si>
    <t>山东师范大学</t>
    <phoneticPr fontId="1" type="noConversion"/>
  </si>
  <si>
    <t>奉化电力绿智食堂</t>
    <phoneticPr fontId="1" type="noConversion"/>
  </si>
  <si>
    <t>河南省电力绿智食堂</t>
    <phoneticPr fontId="1" type="noConversion"/>
  </si>
  <si>
    <t>河南国网</t>
    <phoneticPr fontId="1" type="noConversion"/>
  </si>
  <si>
    <t>浙江理工大学</t>
    <phoneticPr fontId="1" type="noConversion"/>
  </si>
  <si>
    <t>浙江理工大学一卡通替换</t>
    <phoneticPr fontId="1" type="noConversion"/>
  </si>
  <si>
    <t>宁波职业一卡通升级</t>
    <phoneticPr fontId="1" type="noConversion"/>
  </si>
  <si>
    <t>长沙学院</t>
    <phoneticPr fontId="1" type="noConversion"/>
  </si>
  <si>
    <t>北京邮电智慧思政二期</t>
    <phoneticPr fontId="1" type="noConversion"/>
  </si>
  <si>
    <t>重庆邮电</t>
    <phoneticPr fontId="1" type="noConversion"/>
  </si>
  <si>
    <t>重庆</t>
    <phoneticPr fontId="1" type="noConversion"/>
  </si>
  <si>
    <t>重庆邮电大学</t>
    <phoneticPr fontId="1" type="noConversion"/>
  </si>
  <si>
    <t>黑龙江大学</t>
    <phoneticPr fontId="1" type="noConversion"/>
  </si>
  <si>
    <t>绍兴柯桥区政府智慧餐厅信创改造</t>
    <phoneticPr fontId="1" type="noConversion"/>
  </si>
  <si>
    <t>绍兴柯桥区人民政府</t>
    <phoneticPr fontId="1" type="noConversion"/>
  </si>
  <si>
    <t>江西师范大学</t>
    <phoneticPr fontId="1" type="noConversion"/>
  </si>
  <si>
    <t>江西师范大学一码通</t>
    <phoneticPr fontId="1" type="noConversion"/>
  </si>
  <si>
    <t>天津职业智慧思政</t>
    <phoneticPr fontId="1" type="noConversion"/>
  </si>
  <si>
    <t>支持</t>
    <phoneticPr fontId="1" type="noConversion"/>
  </si>
  <si>
    <t>中科院成都分院</t>
    <phoneticPr fontId="1" type="noConversion"/>
  </si>
  <si>
    <t>中科院成都分院物联项目</t>
    <phoneticPr fontId="1" type="noConversion"/>
  </si>
  <si>
    <t>滨州职业物联平台</t>
    <phoneticPr fontId="1" type="noConversion"/>
  </si>
  <si>
    <t>新疆职业物联项目</t>
    <phoneticPr fontId="1" type="noConversion"/>
  </si>
  <si>
    <t>序号</t>
    <phoneticPr fontId="3" type="noConversion"/>
  </si>
  <si>
    <t>主线方案</t>
    <phoneticPr fontId="3" type="noConversion"/>
  </si>
  <si>
    <t>扩展方案</t>
    <phoneticPr fontId="3" type="noConversion"/>
  </si>
  <si>
    <t>方案性质</t>
    <phoneticPr fontId="3" type="noConversion"/>
  </si>
  <si>
    <t>面向对象</t>
    <phoneticPr fontId="3" type="noConversion"/>
  </si>
  <si>
    <t>智慧思政</t>
    <phoneticPr fontId="3" type="noConversion"/>
  </si>
  <si>
    <t>AI情绪分析</t>
    <phoneticPr fontId="3" type="noConversion"/>
  </si>
  <si>
    <t>AI辅导员</t>
    <phoneticPr fontId="3" type="noConversion"/>
  </si>
  <si>
    <t>PPT</t>
    <phoneticPr fontId="3" type="noConversion"/>
  </si>
  <si>
    <t>前期方案</t>
    <phoneticPr fontId="3" type="noConversion"/>
  </si>
  <si>
    <t>详细方案</t>
    <phoneticPr fontId="3" type="noConversion"/>
  </si>
  <si>
    <t>清单</t>
    <phoneticPr fontId="3" type="noConversion"/>
  </si>
  <si>
    <t>专业模型</t>
    <phoneticPr fontId="3" type="noConversion"/>
  </si>
  <si>
    <t>就业模型</t>
    <phoneticPr fontId="3" type="noConversion"/>
  </si>
  <si>
    <t>思政模块扩展</t>
    <phoneticPr fontId="3" type="noConversion"/>
  </si>
  <si>
    <t>全体</t>
    <phoneticPr fontId="3" type="noConversion"/>
  </si>
  <si>
    <t>大数据</t>
    <phoneticPr fontId="3" type="noConversion"/>
  </si>
  <si>
    <t>校园大脑</t>
    <phoneticPr fontId="3" type="noConversion"/>
  </si>
  <si>
    <t>大数据应用扩展</t>
    <phoneticPr fontId="3" type="noConversion"/>
  </si>
  <si>
    <t>宁波</t>
    <phoneticPr fontId="3" type="noConversion"/>
  </si>
  <si>
    <t>非结构化</t>
    <phoneticPr fontId="3" type="noConversion"/>
  </si>
  <si>
    <t>基础平台扩展</t>
    <phoneticPr fontId="3" type="noConversion"/>
  </si>
  <si>
    <t>单项域</t>
    <phoneticPr fontId="3" type="noConversion"/>
  </si>
  <si>
    <t>人事</t>
    <phoneticPr fontId="3" type="noConversion"/>
  </si>
  <si>
    <t>学生</t>
    <phoneticPr fontId="3" type="noConversion"/>
  </si>
  <si>
    <t>资产</t>
    <phoneticPr fontId="3" type="noConversion"/>
  </si>
  <si>
    <t>内控</t>
    <phoneticPr fontId="3" type="noConversion"/>
  </si>
  <si>
    <t>物联</t>
    <phoneticPr fontId="3" type="noConversion"/>
  </si>
  <si>
    <t>物联平台</t>
    <phoneticPr fontId="3" type="noConversion"/>
  </si>
  <si>
    <t>物联平台更新</t>
    <phoneticPr fontId="3" type="noConversion"/>
  </si>
  <si>
    <t>教室空间</t>
    <phoneticPr fontId="3" type="noConversion"/>
  </si>
  <si>
    <t>实验室空间</t>
    <phoneticPr fontId="3" type="noConversion"/>
  </si>
  <si>
    <t>图书馆空间</t>
    <phoneticPr fontId="3" type="noConversion"/>
  </si>
  <si>
    <t>公寓空间</t>
    <phoneticPr fontId="3" type="noConversion"/>
  </si>
  <si>
    <t>办公空间</t>
    <phoneticPr fontId="3" type="noConversion"/>
  </si>
  <si>
    <t>场景故事</t>
    <phoneticPr fontId="3" type="noConversion"/>
  </si>
  <si>
    <t>个别开放</t>
    <phoneticPr fontId="3" type="noConversion"/>
  </si>
  <si>
    <t>AI</t>
    <phoneticPr fontId="3" type="noConversion"/>
  </si>
  <si>
    <t>AI中台</t>
    <phoneticPr fontId="3" type="noConversion"/>
  </si>
  <si>
    <t>AI智能体</t>
    <phoneticPr fontId="3" type="noConversion"/>
  </si>
  <si>
    <t>AI中台阐述主张</t>
    <phoneticPr fontId="3" type="noConversion"/>
  </si>
  <si>
    <t>信创</t>
    <phoneticPr fontId="3" type="noConversion"/>
  </si>
  <si>
    <t>方案模块</t>
    <phoneticPr fontId="3" type="noConversion"/>
  </si>
  <si>
    <t>总部</t>
    <phoneticPr fontId="3" type="noConversion"/>
  </si>
  <si>
    <t>一卡通</t>
    <phoneticPr fontId="3" type="noConversion"/>
  </si>
  <si>
    <t>政企一卡通</t>
    <phoneticPr fontId="3" type="noConversion"/>
  </si>
  <si>
    <t>食安</t>
    <phoneticPr fontId="3" type="noConversion"/>
  </si>
  <si>
    <t>纪委</t>
    <phoneticPr fontId="3" type="noConversion"/>
  </si>
  <si>
    <t>项目转产品</t>
    <phoneticPr fontId="3" type="noConversion"/>
  </si>
  <si>
    <t>电瓶车管理</t>
    <phoneticPr fontId="3" type="noConversion"/>
  </si>
  <si>
    <t>产品化</t>
    <phoneticPr fontId="3" type="noConversion"/>
  </si>
  <si>
    <t>绿智食堂</t>
    <phoneticPr fontId="3" type="noConversion"/>
  </si>
  <si>
    <t>政策性</t>
    <phoneticPr fontId="3" type="noConversion"/>
  </si>
  <si>
    <t>标杆</t>
    <phoneticPr fontId="3" type="noConversion"/>
  </si>
  <si>
    <t>宣传物料</t>
    <phoneticPr fontId="3" type="noConversion"/>
  </si>
  <si>
    <t>北京邮电</t>
    <phoneticPr fontId="3" type="noConversion"/>
  </si>
  <si>
    <t>杭州标杆</t>
    <phoneticPr fontId="3" type="noConversion"/>
  </si>
  <si>
    <t>长安大学</t>
    <phoneticPr fontId="1" type="noConversion"/>
  </si>
  <si>
    <t>环境控制</t>
    <phoneticPr fontId="1" type="noConversion"/>
  </si>
  <si>
    <t>智慧社区</t>
    <phoneticPr fontId="1" type="noConversion"/>
  </si>
  <si>
    <t>山东大学威海校区职业发展</t>
    <phoneticPr fontId="1" type="noConversion"/>
  </si>
  <si>
    <t>山东大学威海校区</t>
    <phoneticPr fontId="1" type="noConversion"/>
  </si>
  <si>
    <t>深圳大学物联校园</t>
    <phoneticPr fontId="1" type="noConversion"/>
  </si>
  <si>
    <t>深圳大学</t>
    <phoneticPr fontId="1" type="noConversion"/>
  </si>
  <si>
    <t>济南大学聚合支付项目</t>
    <phoneticPr fontId="1" type="noConversion"/>
  </si>
  <si>
    <t>杭州师范大学智慧后勤项目</t>
    <phoneticPr fontId="1" type="noConversion"/>
  </si>
  <si>
    <t>杭州师范大学</t>
    <phoneticPr fontId="1" type="noConversion"/>
  </si>
  <si>
    <t>天津中德应用技术大学融合服务和数据中台项目</t>
    <phoneticPr fontId="1" type="noConversion"/>
  </si>
  <si>
    <t>融合平台</t>
    <phoneticPr fontId="1" type="noConversion"/>
  </si>
  <si>
    <t>天津中德应用技术大学</t>
    <phoneticPr fontId="1" type="noConversion"/>
  </si>
  <si>
    <t>山东警察学院一卡通信创升级改造项目</t>
    <phoneticPr fontId="1" type="noConversion"/>
  </si>
  <si>
    <t>山东警察学院</t>
    <phoneticPr fontId="1" type="noConversion"/>
  </si>
  <si>
    <t>身份核验</t>
    <phoneticPr fontId="1" type="noConversion"/>
  </si>
  <si>
    <t>项目类型</t>
  </si>
  <si>
    <t>项目类型</t>
    <phoneticPr fontId="1" type="noConversion"/>
  </si>
  <si>
    <t>年份</t>
    <phoneticPr fontId="1" type="noConversion"/>
  </si>
  <si>
    <t>2025年</t>
    <phoneticPr fontId="1" type="noConversion"/>
  </si>
  <si>
    <t>二级项目类型</t>
    <phoneticPr fontId="3" type="noConversion"/>
  </si>
  <si>
    <t>三级项目类型</t>
    <phoneticPr fontId="3" type="noConversion"/>
  </si>
  <si>
    <t>区域</t>
    <phoneticPr fontId="3" type="noConversion"/>
  </si>
  <si>
    <t>状态</t>
    <phoneticPr fontId="3" type="noConversion"/>
  </si>
  <si>
    <t>支持密度</t>
    <phoneticPr fontId="3" type="noConversion"/>
  </si>
  <si>
    <t>智慧校园</t>
  </si>
  <si>
    <t>澳门</t>
  </si>
  <si>
    <t>常态化跟进</t>
  </si>
  <si>
    <t>高</t>
    <phoneticPr fontId="3" type="noConversion"/>
  </si>
  <si>
    <t>数据中心</t>
  </si>
  <si>
    <t>校园大脑</t>
  </si>
  <si>
    <t>大数据</t>
  </si>
  <si>
    <t>数据中心</t>
    <phoneticPr fontId="3" type="noConversion"/>
  </si>
  <si>
    <t>北京</t>
  </si>
  <si>
    <t>丢标</t>
  </si>
  <si>
    <t>中</t>
    <phoneticPr fontId="3" type="noConversion"/>
  </si>
  <si>
    <t>数字孪生</t>
  </si>
  <si>
    <t>一网通办</t>
    <phoneticPr fontId="3" type="noConversion"/>
  </si>
  <si>
    <t>福建</t>
  </si>
  <si>
    <t>方案</t>
  </si>
  <si>
    <t>低</t>
    <phoneticPr fontId="3" type="noConversion"/>
  </si>
  <si>
    <t>电力绿智食堂</t>
  </si>
  <si>
    <t>智慧思政</t>
  </si>
  <si>
    <t>预警</t>
    <phoneticPr fontId="3" type="noConversion"/>
  </si>
  <si>
    <t>数字孪生</t>
    <phoneticPr fontId="3" type="noConversion"/>
  </si>
  <si>
    <t>广西</t>
  </si>
  <si>
    <t>放弃</t>
  </si>
  <si>
    <t>设备采购</t>
    <phoneticPr fontId="3" type="noConversion"/>
  </si>
  <si>
    <t>物联平台</t>
  </si>
  <si>
    <t>智慧社区</t>
  </si>
  <si>
    <t>贵州</t>
  </si>
  <si>
    <t>交流</t>
  </si>
  <si>
    <t>物联</t>
  </si>
  <si>
    <t>高校一卡通</t>
  </si>
  <si>
    <t>智慧教室空间</t>
    <phoneticPr fontId="3" type="noConversion"/>
  </si>
  <si>
    <t>杭州</t>
  </si>
  <si>
    <t>控标</t>
  </si>
  <si>
    <t>人脸库</t>
  </si>
  <si>
    <t>光照控制</t>
    <phoneticPr fontId="3" type="noConversion"/>
  </si>
  <si>
    <t>河北</t>
  </si>
  <si>
    <t>强跟进</t>
  </si>
  <si>
    <t>身份核验</t>
  </si>
  <si>
    <t>一体化出入</t>
    <phoneticPr fontId="3" type="noConversion"/>
  </si>
  <si>
    <t>河南</t>
  </si>
  <si>
    <t>申报</t>
  </si>
  <si>
    <t>智慧后勤</t>
    <phoneticPr fontId="3" type="noConversion"/>
  </si>
  <si>
    <t>一码通</t>
  </si>
  <si>
    <t>环境控制</t>
    <phoneticPr fontId="3" type="noConversion"/>
  </si>
  <si>
    <t>黑龙江</t>
  </si>
  <si>
    <t>支持</t>
  </si>
  <si>
    <t>智慧教室</t>
    <phoneticPr fontId="3" type="noConversion"/>
  </si>
  <si>
    <t>湖北</t>
  </si>
  <si>
    <t>中标</t>
  </si>
  <si>
    <t>总包</t>
    <phoneticPr fontId="3" type="noConversion"/>
  </si>
  <si>
    <t>智慧教室空间</t>
  </si>
  <si>
    <t>人脸库</t>
    <phoneticPr fontId="3" type="noConversion"/>
  </si>
  <si>
    <t>湖南</t>
  </si>
  <si>
    <t>标杆校申报</t>
  </si>
  <si>
    <t>一码通</t>
    <phoneticPr fontId="3" type="noConversion"/>
  </si>
  <si>
    <t>湖州</t>
  </si>
  <si>
    <t>智慧教室录播</t>
    <phoneticPr fontId="3" type="noConversion"/>
  </si>
  <si>
    <t>华东</t>
  </si>
  <si>
    <t>融合平台</t>
  </si>
  <si>
    <t>吉林</t>
  </si>
  <si>
    <t>智慧校园</t>
    <phoneticPr fontId="3" type="noConversion"/>
  </si>
  <si>
    <t>高校一卡通</t>
    <phoneticPr fontId="3" type="noConversion"/>
  </si>
  <si>
    <t>江西</t>
  </si>
  <si>
    <t>金华</t>
  </si>
  <si>
    <t>丽水</t>
  </si>
  <si>
    <t>身份核验</t>
    <phoneticPr fontId="3" type="noConversion"/>
  </si>
  <si>
    <t>辽宁</t>
  </si>
  <si>
    <t>宁波</t>
  </si>
  <si>
    <t>青海</t>
  </si>
  <si>
    <t>衢州</t>
  </si>
  <si>
    <t>山东</t>
  </si>
  <si>
    <t>标杆校申报</t>
    <phoneticPr fontId="3" type="noConversion"/>
  </si>
  <si>
    <t>山西</t>
  </si>
  <si>
    <t>陕西</t>
  </si>
  <si>
    <t>融合平台</t>
    <phoneticPr fontId="3" type="noConversion"/>
  </si>
  <si>
    <t>绍兴</t>
  </si>
  <si>
    <t>深圳</t>
  </si>
  <si>
    <t>四川</t>
  </si>
  <si>
    <t>台州</t>
  </si>
  <si>
    <t>天津</t>
  </si>
  <si>
    <t>温州</t>
  </si>
  <si>
    <t>新疆</t>
  </si>
  <si>
    <t>云南</t>
  </si>
  <si>
    <t>浙江</t>
  </si>
  <si>
    <t>重庆</t>
  </si>
  <si>
    <t>销售人员</t>
    <phoneticPr fontId="1" type="noConversion"/>
  </si>
  <si>
    <t>售前支持人员</t>
    <phoneticPr fontId="1" type="noConversion"/>
  </si>
  <si>
    <t>备注</t>
    <phoneticPr fontId="1" type="noConversion"/>
  </si>
  <si>
    <t>刘晟</t>
  </si>
  <si>
    <t>李靖翔</t>
  </si>
  <si>
    <t>弱电项目，我们作为入围厂商，参与询价的份额约余额1000万，给出总包方询价反馈环节后，暂无推进</t>
  </si>
  <si>
    <t>矫宇</t>
  </si>
  <si>
    <t>2024年底到2025年春节前后高密度支撑，配合校方昨晚项目谋划，到与银行谈判合作环节后，暂无推进</t>
  </si>
  <si>
    <t>黄江</t>
  </si>
  <si>
    <t>姚国卿</t>
  </si>
  <si>
    <t>陆续进行过2轮谋划+2轮汇报，2025最后决定先结合办事大厅简单做个小项目。基本可认定关闭</t>
  </si>
  <si>
    <t>2024年</t>
    <phoneticPr fontId="1" type="noConversion"/>
  </si>
  <si>
    <t>川渝(广安)教育协同发展试验基地建设项目信息化基础建设</t>
    <phoneticPr fontId="1" type="noConversion"/>
  </si>
  <si>
    <t>广安理工学院</t>
    <phoneticPr fontId="1" type="noConversion"/>
  </si>
  <si>
    <t>中</t>
    <phoneticPr fontId="1" type="noConversion"/>
  </si>
  <si>
    <t>中国石油大学(北京)智慧校园(三期)</t>
    <phoneticPr fontId="1" type="noConversion"/>
  </si>
  <si>
    <t>电子科技大学智慧后勤</t>
    <phoneticPr fontId="1" type="noConversion"/>
  </si>
  <si>
    <t>低</t>
    <phoneticPr fontId="1" type="noConversion"/>
  </si>
  <si>
    <t>河北工艺美术职业学院</t>
    <phoneticPr fontId="1" type="noConversion"/>
  </si>
  <si>
    <t>河南物流职业学院</t>
    <phoneticPr fontId="1" type="noConversion"/>
  </si>
  <si>
    <t>新乡职业技术学院</t>
    <phoneticPr fontId="1" type="noConversion"/>
  </si>
  <si>
    <t>河北工艺美术职业学院智慧校园二期</t>
    <phoneticPr fontId="1" type="noConversion"/>
  </si>
  <si>
    <t>高校</t>
    <phoneticPr fontId="1" type="noConversion"/>
  </si>
  <si>
    <t>企业</t>
    <phoneticPr fontId="1" type="noConversion"/>
  </si>
  <si>
    <t>其他事业单位</t>
    <phoneticPr fontId="1" type="noConversion"/>
  </si>
  <si>
    <t>永康五金技师学院</t>
    <phoneticPr fontId="1" type="noConversion"/>
  </si>
  <si>
    <t>中职</t>
    <phoneticPr fontId="1" type="noConversion"/>
  </si>
  <si>
    <t>盐城工业职业技术学院</t>
    <phoneticPr fontId="1" type="noConversion"/>
  </si>
  <si>
    <t>客户类型</t>
    <phoneticPr fontId="1" type="noConversion"/>
  </si>
  <si>
    <t>北京师范大学丽水实验学校</t>
    <phoneticPr fontId="1" type="noConversion"/>
  </si>
  <si>
    <t>K12</t>
    <phoneticPr fontId="1" type="noConversion"/>
  </si>
  <si>
    <t>衢州职业技术学院</t>
    <phoneticPr fontId="1" type="noConversion"/>
  </si>
  <si>
    <t>高校(筹)</t>
    <phoneticPr fontId="1" type="noConversion"/>
  </si>
  <si>
    <t>河南信息科技学院(筹)</t>
    <phoneticPr fontId="1" type="noConversion"/>
  </si>
  <si>
    <t>黑龙江护理高等专科学校</t>
    <phoneticPr fontId="1" type="noConversion"/>
  </si>
  <si>
    <t>长治学院</t>
    <phoneticPr fontId="1" type="noConversion"/>
  </si>
  <si>
    <t>杭州医学院</t>
    <phoneticPr fontId="1" type="noConversion"/>
  </si>
  <si>
    <t>浙江理工大学科技与艺术学院</t>
    <phoneticPr fontId="1" type="noConversion"/>
  </si>
  <si>
    <t>中国石油大学（北京）</t>
    <phoneticPr fontId="1" type="noConversion"/>
  </si>
  <si>
    <t>中国石油大学（北京）克拉玛依校区</t>
  </si>
  <si>
    <t>楚雄医药高等专科学校</t>
    <phoneticPr fontId="1" type="noConversion"/>
  </si>
  <si>
    <t>黑龙江科技大学</t>
    <phoneticPr fontId="1" type="noConversion"/>
  </si>
  <si>
    <t>黑龙江农业工程职业学院</t>
  </si>
  <si>
    <t>山东外事职业大学</t>
    <phoneticPr fontId="1" type="noConversion"/>
  </si>
  <si>
    <t>湖南远大职业技术学校</t>
    <phoneticPr fontId="1" type="noConversion"/>
  </si>
  <si>
    <t>K12</t>
    <phoneticPr fontId="1" type="noConversion"/>
  </si>
  <si>
    <t>中职</t>
    <phoneticPr fontId="1" type="noConversion"/>
  </si>
  <si>
    <t>企业</t>
    <phoneticPr fontId="1" type="noConversion"/>
  </si>
  <si>
    <t>其他事业单位</t>
    <phoneticPr fontId="1" type="noConversion"/>
  </si>
  <si>
    <t>浙江横店影视职业学院</t>
    <phoneticPr fontId="1" type="noConversion"/>
  </si>
  <si>
    <t>高校</t>
    <phoneticPr fontId="1" type="noConversion"/>
  </si>
  <si>
    <t>临汾职业技术学院</t>
  </si>
  <si>
    <t>娄底中学</t>
    <phoneticPr fontId="1" type="noConversion"/>
  </si>
  <si>
    <t>高校其他</t>
    <phoneticPr fontId="1" type="noConversion"/>
  </si>
  <si>
    <t>哈尔滨体育学院</t>
    <phoneticPr fontId="1" type="noConversion"/>
  </si>
  <si>
    <t>宁波职业技术学院</t>
    <phoneticPr fontId="1" type="noConversion"/>
  </si>
  <si>
    <t>新疆职业大学</t>
    <phoneticPr fontId="1" type="noConversion"/>
  </si>
  <si>
    <t>中南林业科技大学</t>
    <phoneticPr fontId="1" type="noConversion"/>
  </si>
  <si>
    <t>2024年</t>
  </si>
  <si>
    <t>马昱舟</t>
  </si>
  <si>
    <t>杭州师范大学</t>
  </si>
  <si>
    <t>张靖平</t>
  </si>
  <si>
    <t>胡浙鄂</t>
  </si>
  <si>
    <t>重庆工程大学物联项目</t>
  </si>
  <si>
    <t>肖峰</t>
  </si>
  <si>
    <t>等资金</t>
  </si>
  <si>
    <t>浙江工业大学数字孪生项目</t>
  </si>
  <si>
    <t>换领导，销售口述目前没有机会</t>
  </si>
  <si>
    <t>衢州职业新建校项目</t>
  </si>
  <si>
    <t>衢州职业技术学院</t>
  </si>
  <si>
    <t>深圳城市职业物联项目</t>
  </si>
  <si>
    <t>赵凯</t>
  </si>
  <si>
    <t>大连理工宁波研究院</t>
  </si>
  <si>
    <t>西安理工学生成长预警项目</t>
  </si>
  <si>
    <t>张书斌</t>
  </si>
  <si>
    <t>杭州</t>
    <phoneticPr fontId="1" type="noConversion"/>
  </si>
  <si>
    <t>湖州学院学工项目</t>
  </si>
  <si>
    <t>吴建文</t>
  </si>
  <si>
    <t>湖州学院</t>
  </si>
  <si>
    <t>2025年</t>
    <phoneticPr fontId="1" type="noConversion"/>
  </si>
  <si>
    <t>温州理工学院</t>
    <phoneticPr fontId="1" type="noConversion"/>
  </si>
  <si>
    <t>重庆</t>
    <phoneticPr fontId="1" type="noConversion"/>
  </si>
  <si>
    <t>深圳</t>
    <phoneticPr fontId="1" type="noConversion"/>
  </si>
  <si>
    <t>湖南</t>
    <phoneticPr fontId="1" type="noConversion"/>
  </si>
  <si>
    <t>陕西</t>
    <phoneticPr fontId="1" type="noConversion"/>
  </si>
  <si>
    <t>湖州</t>
    <phoneticPr fontId="1" type="noConversion"/>
  </si>
  <si>
    <t>齐益军</t>
    <phoneticPr fontId="1" type="noConversion"/>
  </si>
  <si>
    <t>重庆工程学院</t>
    <phoneticPr fontId="1" type="noConversion"/>
  </si>
  <si>
    <t>浙江工业大学</t>
    <phoneticPr fontId="1" type="noConversion"/>
  </si>
  <si>
    <t>深圳城市职业学院</t>
    <phoneticPr fontId="1" type="noConversion"/>
  </si>
  <si>
    <t>西安理工大学</t>
    <phoneticPr fontId="1" type="noConversion"/>
  </si>
  <si>
    <t>潘燕忠</t>
    <phoneticPr fontId="1" type="noConversion"/>
  </si>
  <si>
    <t>张靖平</t>
    <phoneticPr fontId="1" type="noConversion"/>
  </si>
  <si>
    <t>李靖翔</t>
    <phoneticPr fontId="1" type="noConversion"/>
  </si>
  <si>
    <t>胡启灏</t>
    <phoneticPr fontId="1" type="noConversion"/>
  </si>
  <si>
    <t>不确定</t>
    <phoneticPr fontId="1" type="noConversion"/>
  </si>
  <si>
    <t>后勤事业部</t>
    <phoneticPr fontId="1" type="noConversion"/>
  </si>
  <si>
    <t>郑小勇</t>
    <phoneticPr fontId="1" type="noConversion"/>
  </si>
  <si>
    <t>浙江移动一卡通互联互通平台</t>
    <phoneticPr fontId="1" type="noConversion"/>
  </si>
  <si>
    <t>齐益军</t>
    <phoneticPr fontId="1" type="noConversion"/>
  </si>
  <si>
    <t>张靖平</t>
    <phoneticPr fontId="1" type="noConversion"/>
  </si>
  <si>
    <t>南通市机关事务管理局</t>
    <phoneticPr fontId="1" type="noConversion"/>
  </si>
  <si>
    <t>万里学院后勤AI项目</t>
    <phoneticPr fontId="1" type="noConversion"/>
  </si>
  <si>
    <t>2025年</t>
    <phoneticPr fontId="1" type="noConversion"/>
  </si>
  <si>
    <t>北京科技大学新建校物联</t>
    <phoneticPr fontId="1" type="noConversion"/>
  </si>
  <si>
    <t>北京科技大学</t>
    <phoneticPr fontId="1" type="noConversion"/>
  </si>
  <si>
    <t>长安大学物联中台和人工智能研究院</t>
    <phoneticPr fontId="1" type="noConversion"/>
  </si>
  <si>
    <t>南京理工大学</t>
    <phoneticPr fontId="1" type="noConversion"/>
  </si>
  <si>
    <t>南京理工大学智慧能源管理云平台</t>
    <phoneticPr fontId="1" type="noConversion"/>
  </si>
  <si>
    <t>武汉华夏理工学院梧桐湖新校区</t>
    <phoneticPr fontId="1" type="noConversion"/>
  </si>
  <si>
    <t>华夏理工梧桐新建校数字孪生能源管理系统</t>
    <phoneticPr fontId="1" type="noConversion"/>
  </si>
  <si>
    <t>许昌学院</t>
    <phoneticPr fontId="1" type="noConversion"/>
  </si>
  <si>
    <t>许昌学院一体化出入平台项目</t>
    <phoneticPr fontId="1" type="noConversion"/>
  </si>
  <si>
    <t>政企智慧园区解决方案</t>
    <phoneticPr fontId="1" type="noConversion"/>
  </si>
  <si>
    <t>政企智慧园区</t>
    <phoneticPr fontId="1" type="noConversion"/>
  </si>
  <si>
    <t>西安工业大学</t>
    <phoneticPr fontId="1" type="noConversion"/>
  </si>
  <si>
    <t>鞠进</t>
    <phoneticPr fontId="1" type="noConversion"/>
  </si>
  <si>
    <t>高校</t>
    <phoneticPr fontId="1" type="noConversion"/>
  </si>
  <si>
    <t>企业</t>
    <phoneticPr fontId="1" type="noConversion"/>
  </si>
  <si>
    <t>已丢标</t>
    <phoneticPr fontId="1" type="noConversion"/>
  </si>
  <si>
    <t>王尊文</t>
    <phoneticPr fontId="1" type="noConversion"/>
  </si>
  <si>
    <t>严胡杰</t>
    <phoneticPr fontId="1" type="noConversion"/>
  </si>
  <si>
    <t>其他厂家参数挂网，预算低，未冲标</t>
    <phoneticPr fontId="1" type="noConversion"/>
  </si>
  <si>
    <t>李杰</t>
    <phoneticPr fontId="1" type="noConversion"/>
  </si>
  <si>
    <t>张一新</t>
    <phoneticPr fontId="1" type="noConversion"/>
  </si>
  <si>
    <t>物联</t>
    <phoneticPr fontId="1" type="noConversion"/>
  </si>
  <si>
    <t>大数据</t>
    <phoneticPr fontId="1" type="noConversion"/>
  </si>
  <si>
    <t>数字孪生</t>
    <phoneticPr fontId="1" type="noConversion"/>
  </si>
  <si>
    <t>一卡通</t>
    <phoneticPr fontId="1" type="noConversion"/>
  </si>
  <si>
    <t>政企一卡通</t>
    <phoneticPr fontId="1" type="noConversion"/>
  </si>
  <si>
    <t>徐州汉斯半导体产业园区数字化项目</t>
    <phoneticPr fontId="1" type="noConversion"/>
  </si>
  <si>
    <t>徐州</t>
    <phoneticPr fontId="1" type="noConversion"/>
  </si>
  <si>
    <t>徐州汉斯半导体产业园区</t>
    <phoneticPr fontId="1" type="noConversion"/>
  </si>
  <si>
    <t>黑龙江</t>
    <phoneticPr fontId="1" type="noConversion"/>
  </si>
  <si>
    <t>黑龙江建筑职业学院项目</t>
    <phoneticPr fontId="1" type="noConversion"/>
  </si>
  <si>
    <t>黑龙江建筑职业技术学院</t>
    <phoneticPr fontId="1" type="noConversion"/>
  </si>
  <si>
    <t>支持</t>
    <phoneticPr fontId="1" type="noConversion"/>
  </si>
  <si>
    <t>南京</t>
    <phoneticPr fontId="1" type="noConversion"/>
  </si>
  <si>
    <t>河南</t>
    <phoneticPr fontId="1" type="noConversion"/>
  </si>
  <si>
    <t>北京</t>
    <phoneticPr fontId="1" type="noConversion"/>
  </si>
  <si>
    <t>宁波</t>
    <phoneticPr fontId="1" type="noConversion"/>
  </si>
  <si>
    <t>不确定</t>
    <phoneticPr fontId="1" type="noConversion"/>
  </si>
  <si>
    <t>宁波象山电力绿智食堂</t>
    <phoneticPr fontId="1" type="noConversion"/>
  </si>
  <si>
    <t>金华东阳电力公司绿智食堂</t>
    <phoneticPr fontId="1" type="noConversion"/>
  </si>
  <si>
    <t>大数据</t>
    <phoneticPr fontId="1" type="noConversion"/>
  </si>
  <si>
    <t>物联</t>
    <phoneticPr fontId="1" type="noConversion"/>
  </si>
  <si>
    <t>李叔平</t>
  </si>
  <si>
    <t>李叔平</t>
    <phoneticPr fontId="1" type="noConversion"/>
  </si>
  <si>
    <t>湖州健康职业学院</t>
    <phoneticPr fontId="1" type="noConversion"/>
  </si>
  <si>
    <t>杜辉</t>
  </si>
  <si>
    <t>杜辉</t>
    <phoneticPr fontId="1" type="noConversion"/>
  </si>
  <si>
    <t>胡启灏</t>
  </si>
  <si>
    <t>潘燕忠</t>
  </si>
  <si>
    <t>齐益军</t>
  </si>
  <si>
    <t>郑小勇</t>
  </si>
  <si>
    <t>售前支持人员</t>
    <phoneticPr fontId="3" type="noConversion"/>
  </si>
  <si>
    <t>王旭东</t>
  </si>
  <si>
    <t>后勤和信息两个部门计划按照西安交通大学物联网项目样板建设大同大学物联网和物联应用，做到后勤物联网的统一节能管控和统一管理的目的。目前项目因为资金等原因。</t>
  </si>
  <si>
    <t>一卡通</t>
  </si>
  <si>
    <t>冯勇</t>
  </si>
  <si>
    <t>2024年5月去过学校进行现场方案宣讲和交流，目前未有反馈。</t>
  </si>
  <si>
    <t>孟杰</t>
  </si>
  <si>
    <t>给吉首大学出过一稿一卡通建设方案（融合版），目前未有反馈。</t>
  </si>
  <si>
    <t>梁佳</t>
  </si>
  <si>
    <t>王松</t>
  </si>
  <si>
    <t>2024年7月去过学校进行现场方案宣讲和交流，目前未有反馈。</t>
  </si>
  <si>
    <t>胡建强</t>
  </si>
  <si>
    <t>协助申报信创升级改造项目资金，目前资金已下来，正在招投标流程中。</t>
  </si>
  <si>
    <t>张帆</t>
  </si>
  <si>
    <t>给学校出过一稿一卡通建设方案（融合版），目前未有反馈。</t>
  </si>
  <si>
    <t>许哲昌</t>
  </si>
  <si>
    <t>协助提供信创建设方案，目前未有反馈。</t>
  </si>
  <si>
    <t>戴东平</t>
  </si>
  <si>
    <t>协助撰写一卡通建设方案和招标参数，目前项目还在进行中。</t>
  </si>
  <si>
    <t>卢建双</t>
  </si>
  <si>
    <t>学校信息中心主任换人，目前项目还在进行中。</t>
  </si>
  <si>
    <t>大同大学物联校园项目</t>
    <phoneticPr fontId="1" type="noConversion"/>
  </si>
  <si>
    <t>山西大同大学</t>
    <phoneticPr fontId="1" type="noConversion"/>
  </si>
  <si>
    <t>江苏开放大学融合服务项目</t>
    <phoneticPr fontId="1" type="noConversion"/>
  </si>
  <si>
    <t>江苏</t>
    <phoneticPr fontId="1" type="noConversion"/>
  </si>
  <si>
    <t>江苏开放大学</t>
    <phoneticPr fontId="1" type="noConversion"/>
  </si>
  <si>
    <t>成人高等学校</t>
    <phoneticPr fontId="1" type="noConversion"/>
  </si>
  <si>
    <t>湖南吉首大学一卡通项目</t>
    <phoneticPr fontId="1" type="noConversion"/>
  </si>
  <si>
    <t>吉首大学</t>
    <phoneticPr fontId="1" type="noConversion"/>
  </si>
  <si>
    <t>哈尔滨科学技术职业学院</t>
    <phoneticPr fontId="1" type="noConversion"/>
  </si>
  <si>
    <t>黑龙江民族职业学院一卡通项目</t>
    <phoneticPr fontId="1" type="noConversion"/>
  </si>
  <si>
    <t>黑龙江民族职业学院</t>
    <phoneticPr fontId="1" type="noConversion"/>
  </si>
  <si>
    <t>中国矿业大学徐海学院融合服务项目</t>
    <phoneticPr fontId="1" type="noConversion"/>
  </si>
  <si>
    <t>中国矿业大学徐海学院</t>
    <phoneticPr fontId="1" type="noConversion"/>
  </si>
  <si>
    <t>浙江省政府餐厅一卡通信创项目</t>
    <phoneticPr fontId="1" type="noConversion"/>
  </si>
  <si>
    <t>浙江省政府机关事业管理局</t>
    <phoneticPr fontId="1" type="noConversion"/>
  </si>
  <si>
    <t>天津渤海职业技术学院一卡通项目</t>
    <phoneticPr fontId="1" type="noConversion"/>
  </si>
  <si>
    <t>天津渤海职业技术学院</t>
    <phoneticPr fontId="1" type="noConversion"/>
  </si>
  <si>
    <t>长沙学院一卡通升级项目</t>
    <phoneticPr fontId="1" type="noConversion"/>
  </si>
  <si>
    <t>国家教育行政学院信创基础设施建设项目</t>
    <phoneticPr fontId="1" type="noConversion"/>
  </si>
  <si>
    <t>掌门</t>
    <phoneticPr fontId="1" type="noConversion"/>
  </si>
  <si>
    <t>国家教育行政学院</t>
    <phoneticPr fontId="1" type="noConversion"/>
  </si>
  <si>
    <t>兰州理工大学一卡通项目</t>
    <phoneticPr fontId="1" type="noConversion"/>
  </si>
  <si>
    <t>甘青宁</t>
    <phoneticPr fontId="1" type="noConversion"/>
  </si>
  <si>
    <t>兰州理工大学</t>
    <phoneticPr fontId="1" type="noConversion"/>
  </si>
  <si>
    <t>上海应用技术大学一卡通项目</t>
    <phoneticPr fontId="1" type="noConversion"/>
  </si>
  <si>
    <t>上海</t>
    <phoneticPr fontId="1" type="noConversion"/>
  </si>
  <si>
    <t>上海应用技术大学</t>
    <phoneticPr fontId="1" type="noConversion"/>
  </si>
  <si>
    <t>上海财经大学</t>
    <phoneticPr fontId="1" type="noConversion"/>
  </si>
  <si>
    <t>孟杰</t>
    <phoneticPr fontId="1" type="noConversion"/>
  </si>
  <si>
    <t>何志伟</t>
  </si>
  <si>
    <t>梁佳、肖锋</t>
  </si>
  <si>
    <t>去年采购结果取消，今年采购内容修改后重新采购</t>
  </si>
  <si>
    <t>许丹</t>
  </si>
  <si>
    <t>规划已获审批</t>
  </si>
  <si>
    <t>王焕</t>
  </si>
  <si>
    <t>沈志伟</t>
  </si>
  <si>
    <t>袁柏岁</t>
  </si>
  <si>
    <t>以大数据部为主对项目进行支撑</t>
  </si>
  <si>
    <t>严胡杰</t>
  </si>
  <si>
    <t>河北地质大学一卡通科技投入项目</t>
    <phoneticPr fontId="1" type="noConversion"/>
  </si>
  <si>
    <t>河北机电职业技术学院</t>
    <phoneticPr fontId="1" type="noConversion"/>
  </si>
  <si>
    <t>某军校信息化智能化教学条件整体建设</t>
    <phoneticPr fontId="1" type="noConversion"/>
  </si>
  <si>
    <t>某军校</t>
    <phoneticPr fontId="1" type="noConversion"/>
  </si>
  <si>
    <t>海南省文化艺术学校智慧校园</t>
    <phoneticPr fontId="1" type="noConversion"/>
  </si>
  <si>
    <t>海南</t>
    <phoneticPr fontId="1" type="noConversion"/>
  </si>
  <si>
    <t>海南省文化艺术学校</t>
    <phoneticPr fontId="1" type="noConversion"/>
  </si>
  <si>
    <t>山西医科大学智慧校园</t>
    <phoneticPr fontId="1" type="noConversion"/>
  </si>
  <si>
    <t>山西医科大学</t>
    <phoneticPr fontId="1" type="noConversion"/>
  </si>
  <si>
    <t>北京理工大学长三角研究院智慧校园</t>
    <phoneticPr fontId="1" type="noConversion"/>
  </si>
  <si>
    <t>嘉兴</t>
    <phoneticPr fontId="1" type="noConversion"/>
  </si>
  <si>
    <t>北京理工大学长三角研究院</t>
    <phoneticPr fontId="1" type="noConversion"/>
  </si>
  <si>
    <t>辽宁大学大数据项目</t>
    <phoneticPr fontId="1" type="noConversion"/>
  </si>
  <si>
    <t>辽宁大学</t>
    <phoneticPr fontId="1" type="noConversion"/>
  </si>
  <si>
    <t>宁波财经学院数据治理</t>
    <phoneticPr fontId="1" type="noConversion"/>
  </si>
  <si>
    <t>宁波财经学院</t>
    <phoneticPr fontId="1" type="noConversion"/>
  </si>
  <si>
    <t>四川美术学院数据治理</t>
    <phoneticPr fontId="1" type="noConversion"/>
  </si>
  <si>
    <t>四川美术学院</t>
    <phoneticPr fontId="1" type="noConversion"/>
  </si>
  <si>
    <t>军警</t>
    <phoneticPr fontId="1" type="noConversion"/>
  </si>
  <si>
    <t>肖峰</t>
    <phoneticPr fontId="1" type="noConversion"/>
  </si>
  <si>
    <t>区域类型</t>
    <phoneticPr fontId="1" type="noConversion"/>
  </si>
  <si>
    <t>省外</t>
    <phoneticPr fontId="1" type="noConversion"/>
  </si>
  <si>
    <t>省内</t>
    <phoneticPr fontId="1" type="noConversion"/>
  </si>
  <si>
    <t>子公司</t>
    <phoneticPr fontId="1" type="noConversion"/>
  </si>
  <si>
    <t>辽吉</t>
    <phoneticPr fontId="1" type="noConversion"/>
  </si>
  <si>
    <t>省内</t>
    <phoneticPr fontId="1" type="noConversion"/>
  </si>
  <si>
    <t>省外</t>
    <phoneticPr fontId="1" type="noConversion"/>
  </si>
  <si>
    <t>子公司</t>
    <phoneticPr fontId="1" type="noConversion"/>
  </si>
  <si>
    <t>温台</t>
    <phoneticPr fontId="1" type="noConversion"/>
  </si>
  <si>
    <t>其他</t>
    <phoneticPr fontId="1" type="noConversion"/>
  </si>
  <si>
    <t>支持</t>
    <phoneticPr fontId="1" type="noConversion"/>
  </si>
  <si>
    <t>何志伟</t>
    <phoneticPr fontId="1" type="noConversion"/>
  </si>
  <si>
    <t>张一新</t>
  </si>
  <si>
    <t>王磊</t>
  </si>
  <si>
    <t>谢聪聪</t>
  </si>
  <si>
    <t>张帆</t>
    <phoneticPr fontId="1" type="noConversion"/>
  </si>
  <si>
    <t>杨欣宇</t>
  </si>
  <si>
    <t>何志龙</t>
  </si>
  <si>
    <t>郎永鹏</t>
  </si>
  <si>
    <t>傅斌</t>
  </si>
  <si>
    <t>王林峰</t>
  </si>
  <si>
    <t>王林峰</t>
    <phoneticPr fontId="1" type="noConversion"/>
  </si>
  <si>
    <t>徐东</t>
  </si>
  <si>
    <t>哈尔滨科学技术职业学院一卡通项目</t>
  </si>
  <si>
    <t>刘鸿芳</t>
  </si>
  <si>
    <t>饶国华</t>
  </si>
  <si>
    <t>陈强</t>
  </si>
  <si>
    <t>蔡宇峰</t>
  </si>
  <si>
    <t>已中标</t>
    <phoneticPr fontId="1" type="noConversion"/>
  </si>
  <si>
    <t>李建林</t>
  </si>
  <si>
    <t>吴伟伟</t>
  </si>
  <si>
    <t>刘炎</t>
  </si>
  <si>
    <t>北京林业大学雄安校区</t>
    <phoneticPr fontId="1" type="noConversion"/>
  </si>
  <si>
    <t>某高校信息化标杆校建设方案</t>
  </si>
  <si>
    <t>晏海峰</t>
  </si>
  <si>
    <t>梁佳</t>
    <phoneticPr fontId="1" type="noConversion"/>
  </si>
  <si>
    <t>王珑珑</t>
  </si>
  <si>
    <t>王祖平</t>
  </si>
  <si>
    <t>蔡正苍</t>
  </si>
  <si>
    <t>张亚龙</t>
  </si>
  <si>
    <t>黄江</t>
    <phoneticPr fontId="1" type="noConversion"/>
  </si>
  <si>
    <t>何海清</t>
  </si>
  <si>
    <t>谭鹏程</t>
  </si>
  <si>
    <t>束家余</t>
  </si>
  <si>
    <t>何海青</t>
  </si>
  <si>
    <t>贺飞鸿</t>
  </si>
  <si>
    <t>许正森</t>
    <phoneticPr fontId="1" type="noConversion"/>
  </si>
  <si>
    <t>邱春红</t>
    <phoneticPr fontId="1" type="noConversion"/>
  </si>
  <si>
    <t>深圳理工大学智慧校园项目</t>
  </si>
  <si>
    <t>深圳理工大学</t>
  </si>
  <si>
    <t>中</t>
  </si>
  <si>
    <t>以支持广东办事处售前为主</t>
  </si>
  <si>
    <t>8、 长安大学 物联中台和 人工智能 研究院大楼申报材料及清单输出，联标准示例文档整理；</t>
  </si>
  <si>
    <t>9、 南京理工大学 智慧能源 管理云平台需求内部拉通评估，本质为系统集成项目，涉及机器人、无人机、智能巡检、变电站等不熟悉业务，已建议分公司上升决策；</t>
  </si>
  <si>
    <t>10、贵州医科大物联立项素材提供；</t>
  </si>
  <si>
    <t>11、 华夏理工 梧桐新建校 数字孪生 能源管理系统清单和方案提供；</t>
  </si>
  <si>
    <t>12、 中国石油大学 招标需求修改，预计6月份前招标；</t>
  </si>
  <si>
    <t>13、横店影视建行挂标前最后一轮沟通确认，3方达成一致，准备挂标；</t>
  </si>
  <si>
    <t>14、 许昌学院 一体化出入平台项目招标参数整理输出</t>
  </si>
  <si>
    <t>15、河北地质大学新校区一期工程一卡通建设项目(预算约1700万)整体招标文件最后审定；</t>
  </si>
  <si>
    <t>16、 浙江万里学院 校园大脑项目推进；</t>
  </si>
  <si>
    <t>17、政企智慧园区解决方案产品化工作；</t>
  </si>
  <si>
    <t>18、张汝沛本周工作指导，主要为 黑龙江 农业工程职业学院 、黑龙江建筑职业学院两个项目。</t>
  </si>
  <si>
    <t>19、金华东阳电力公司、嘉兴桐乡电力、宁波象山电力、浙江省电力绿智食堂；</t>
  </si>
  <si>
    <t>20、对接徐州汉斯半导体产业园区数字化项目，协同徐州销售王松沟通了解实际需求；</t>
  </si>
  <si>
    <t>21、 西安工业大学 投标演示内容沟通（前期沟通，标书未出，还在前期交流），已完成演示项目区分；</t>
  </si>
  <si>
    <t>22、南通市机关事务管理局线下交流演示环境协调，已完成</t>
  </si>
  <si>
    <t>23、支持 中南林业科技大学 一校通建设项目；</t>
  </si>
  <si>
    <t>支持宁波大学科学技术学院周巷校区二期信息化设备采购项目，审核分公司编写的投标文件。</t>
  </si>
  <si>
    <t>1、南通市机关事务管理局智慧食堂项目；</t>
  </si>
  <si>
    <t>2、 宁波大学科学技术学院 周巷校区 智慧校园 项目；</t>
  </si>
  <si>
    <t>3、 万里学院 后勤AI项目；</t>
  </si>
  <si>
    <t>4、 三峡大学 虚拟校园卡项目；</t>
  </si>
  <si>
    <t>5、 河北地质大学 智慧校园项目支持；</t>
  </si>
  <si>
    <t>6、 北京科技大学 新建校物联，停车场导航方案交流，导航方案提供；</t>
  </si>
  <si>
    <t>7、 山东大学威海校区 思政申报材料编写提供；</t>
  </si>
  <si>
    <t>项目支持</t>
    <phoneticPr fontId="1" type="noConversion"/>
  </si>
  <si>
    <t>日期</t>
    <phoneticPr fontId="1" type="noConversion"/>
  </si>
  <si>
    <t>17、K12校园食堂智慧监管平台产品化相关工作；（齐益军）</t>
  </si>
  <si>
    <t>18、 河北地质大学 新校区一期工程一卡通建设项目投标准备；（齐益军）</t>
  </si>
  <si>
    <t>19、准备中信银行智慧食堂入围项目投标准备工作，下周一拿到招标文件，6月5日投标;（郑小勇）</t>
  </si>
  <si>
    <t>东阳影视学院银行项目项目支撑；（李靖翔）</t>
  </si>
  <si>
    <t>6、万里后勤AI项目交流、支持；（李叔平）</t>
  </si>
  <si>
    <t>7、杭州师范大学物联招标参数；（张靖平）</t>
  </si>
  <si>
    <t>1、 西安工业大学 一卡通项目投标演示内容功能梳理，月底投标；（邱春红）</t>
    <phoneticPr fontId="1" type="noConversion"/>
  </si>
  <si>
    <t>西安工业大学一卡通项目投标</t>
    <phoneticPr fontId="1" type="noConversion"/>
  </si>
  <si>
    <t>一卡通</t>
    <phoneticPr fontId="1" type="noConversion"/>
  </si>
  <si>
    <t>常态化跟进,丢标,方案,放弃,交流,控标,强跟进,申报,支持,中标</t>
    <phoneticPr fontId="3" type="noConversion"/>
  </si>
  <si>
    <t>张小燕</t>
    <phoneticPr fontId="1" type="noConversion"/>
  </si>
  <si>
    <t>2、 兰州大学 点餐系统、 贺州学院 两处演示环境协调（已完成）；（邱春红）</t>
    <phoneticPr fontId="1" type="noConversion"/>
  </si>
  <si>
    <t>智慧校园,大数据,电力绿智食堂,设备采购,物联,信创,一卡通,智慧后勤,智慧教室,总包</t>
    <phoneticPr fontId="3" type="noConversion"/>
  </si>
  <si>
    <t>3、 哈尔滨师范大学 /哈尔滨 东方学院 一卡通项目；（李叔平）</t>
    <phoneticPr fontId="1" type="noConversion"/>
  </si>
  <si>
    <t>4、 杭州师范大学 银校合作项目；（李叔平）</t>
    <phoneticPr fontId="1" type="noConversion"/>
  </si>
  <si>
    <t>杭州师范大学银校合作项目</t>
    <phoneticPr fontId="1" type="noConversion"/>
  </si>
  <si>
    <t>5、中信银行智慧结算项目入围；（李叔平）</t>
    <phoneticPr fontId="1" type="noConversion"/>
  </si>
  <si>
    <t>中信银行智慧结算项目入围</t>
    <phoneticPr fontId="1" type="noConversion"/>
  </si>
  <si>
    <t>8、 中国石油大学 思政招标参数定稿；（张靖平）</t>
    <phoneticPr fontId="1" type="noConversion"/>
  </si>
  <si>
    <t>9、湖南师范物联出差交流，客户反馈比华为方案好，希望我们配合设计单位新建校项目进入；（张靖平）</t>
    <phoneticPr fontId="1" type="noConversion"/>
  </si>
  <si>
    <t>湖南师范大学</t>
    <phoneticPr fontId="1" type="noConversion"/>
  </si>
  <si>
    <t>湖南师范物联</t>
    <phoneticPr fontId="1" type="noConversion"/>
  </si>
  <si>
    <t>10、 淮阴师范 物联项目支撑，计划子公司自己引入设备厂家，总部配合对接；（张靖平）</t>
    <phoneticPr fontId="1" type="noConversion"/>
  </si>
  <si>
    <t>11、贵州医科大物联项目需求内部讨论，物联平台工作量评估，目前研发初步结论偏高，沟通中；（张靖平）</t>
    <phoneticPr fontId="1" type="noConversion"/>
  </si>
  <si>
    <t>12、四个地区绿智食堂项目，金华义乌电力公司、萧山电力绿智食堂、临安电力公司、浙江省电力绿智食堂项目；（潘燕忠）</t>
    <phoneticPr fontId="1" type="noConversion"/>
  </si>
  <si>
    <t>金华义乌电力公司</t>
    <phoneticPr fontId="1" type="noConversion"/>
  </si>
  <si>
    <t>13、湖州长兴教育局相关材料协助输出；（杜辉）</t>
    <phoneticPr fontId="1" type="noConversion"/>
  </si>
  <si>
    <t>湖州长兴教育局</t>
    <phoneticPr fontId="1" type="noConversion"/>
  </si>
  <si>
    <t>湖州长兴教育局相关材料协助输出</t>
    <phoneticPr fontId="1" type="noConversion"/>
  </si>
  <si>
    <t>14、 地质大学 招标参数审核；（杜辉）</t>
    <phoneticPr fontId="1" type="noConversion"/>
  </si>
  <si>
    <t>15、支撑北京销售李建林对 燕京理工学院 数据中台项目增加系统对接费用的说明；（胡启灏）</t>
    <phoneticPr fontId="1" type="noConversion"/>
  </si>
  <si>
    <t>16、 浙江万里学院 校园大脑项目建设方案编制工作；（齐益军）</t>
    <phoneticPr fontId="1" type="noConversion"/>
  </si>
  <si>
    <t>20、支持 衢州职业技术学院 一卡通升级项目，腾讯线上会议向用户讲解配置方案，并解答用户方案中的问题;（郑小勇）</t>
    <phoneticPr fontId="1" type="noConversion"/>
  </si>
  <si>
    <t>衢州职业技术学院一卡通升级项目</t>
    <phoneticPr fontId="1" type="noConversion"/>
  </si>
  <si>
    <t>21、支持 宁波大学科学技术学院 信息化采购项目，协助现场售前审核投标文件和方案;（郑小勇）</t>
    <phoneticPr fontId="1" type="noConversion"/>
  </si>
  <si>
    <t>22、支持 天津铁道职业技术学院 一卡通项目，支持提供网络安全和容灾备份方案和报价;（郑小勇）</t>
    <phoneticPr fontId="1" type="noConversion"/>
  </si>
  <si>
    <t>天津铁道职业技术学院</t>
    <phoneticPr fontId="1" type="noConversion"/>
  </si>
  <si>
    <t>天津铁道职业技术学院一卡通项目</t>
    <phoneticPr fontId="1" type="noConversion"/>
  </si>
  <si>
    <t>淮阴师范学院</t>
    <phoneticPr fontId="1" type="noConversion"/>
  </si>
  <si>
    <t>西南林业大学一站式社区项目</t>
    <phoneticPr fontId="1" type="noConversion"/>
  </si>
  <si>
    <t>搞不定</t>
    <phoneticPr fontId="1" type="noConversion"/>
  </si>
  <si>
    <t>中信银行杭州分行</t>
    <phoneticPr fontId="1" type="noConversion"/>
  </si>
  <si>
    <t>连栋</t>
    <phoneticPr fontId="1" type="noConversion"/>
  </si>
  <si>
    <t>宁波大学科学技术学院周巷校区二期信息化设备采购项目</t>
    <phoneticPr fontId="1" type="noConversion"/>
  </si>
  <si>
    <t>山西大学招标文件参数核对（新开普参数、参数内容较多，还未核对完成）。（杜辉）</t>
  </si>
  <si>
    <t>1、中国物理研究院成都分院智慧园区；（李叔平）</t>
    <phoneticPr fontId="1" type="noConversion"/>
  </si>
  <si>
    <t>2、 河北地质大学 智慧校园 ；（齐益军、李叔平、李靖翔、郑小勇）</t>
    <phoneticPr fontId="1" type="noConversion"/>
  </si>
  <si>
    <t>3、 山西大学 一卡通；（李叔平）</t>
    <phoneticPr fontId="1" type="noConversion"/>
  </si>
  <si>
    <t>4、 杭州师范大学 智慧校园项目沟通、支持；（李叔平）</t>
    <phoneticPr fontId="1" type="noConversion"/>
  </si>
  <si>
    <t>中国物理研究院成都分院智慧园区</t>
    <phoneticPr fontId="1" type="noConversion"/>
  </si>
  <si>
    <t>中国物理研究院成都分院</t>
    <phoneticPr fontId="1" type="noConversion"/>
  </si>
  <si>
    <t>山西大学</t>
    <phoneticPr fontId="1" type="noConversion"/>
  </si>
  <si>
    <t>企业</t>
  </si>
  <si>
    <t>高校</t>
  </si>
  <si>
    <t>5、 北交大 IOC 二期设计方案两轮沟通；（张靖平）</t>
    <phoneticPr fontId="1" type="noConversion"/>
  </si>
  <si>
    <t>北京交通大学威海校区</t>
    <phoneticPr fontId="1" type="noConversion"/>
  </si>
  <si>
    <t>3、 淮阴师范 空调项目招标参数提供；（张靖平）</t>
    <phoneticPr fontId="1" type="noConversion"/>
  </si>
  <si>
    <t>4、杭州师范大学物联招标参数提供；（张靖平）</t>
    <phoneticPr fontId="1" type="noConversion"/>
  </si>
  <si>
    <t>5、宁夏警察 数字孪生 演示需求需求沟通;（张靖平）</t>
    <phoneticPr fontId="1" type="noConversion"/>
  </si>
  <si>
    <t>宁夏警官职业学院</t>
    <phoneticPr fontId="1" type="noConversion"/>
  </si>
  <si>
    <t>宁夏警察数字孪生</t>
    <phoneticPr fontId="1" type="noConversion"/>
  </si>
  <si>
    <t>6、贵州中医药物联平台申报参数提供;（张靖平）</t>
    <phoneticPr fontId="1" type="noConversion"/>
  </si>
  <si>
    <t>贵州中医药大学</t>
    <phoneticPr fontId="1" type="noConversion"/>
  </si>
  <si>
    <t>贵州中医药物联</t>
    <phoneticPr fontId="1" type="noConversion"/>
  </si>
  <si>
    <t>7、 长安大学 物联平台项目推进，消防厂家沟通;（张靖平）</t>
    <phoneticPr fontId="1" type="noConversion"/>
  </si>
  <si>
    <t>8、 中国石油大学 思政项目招标文件 定稿 ，标书准备，预计节后挂网;（张靖平）</t>
    <phoneticPr fontId="1" type="noConversion"/>
  </si>
  <si>
    <t>9、 东北林业大学 数字孪生清单提供;（张靖平）</t>
    <phoneticPr fontId="1" type="noConversion"/>
  </si>
  <si>
    <t>东北林业大学</t>
    <phoneticPr fontId="1" type="noConversion"/>
  </si>
  <si>
    <t>东北林业大学数字孪生</t>
    <phoneticPr fontId="1" type="noConversion"/>
  </si>
  <si>
    <t>10、银川职业技术学院智慧校园大数据项目售前交流支撑；（市场部）</t>
    <phoneticPr fontId="1" type="noConversion"/>
  </si>
  <si>
    <t>宁夏职业技术学院</t>
    <phoneticPr fontId="1" type="noConversion"/>
  </si>
  <si>
    <t>银川职业技术学院智慧校园大数据项目售前交流支撑</t>
    <phoneticPr fontId="1" type="noConversion"/>
  </si>
  <si>
    <t>市场部</t>
    <phoneticPr fontId="1" type="noConversion"/>
  </si>
  <si>
    <t>11、横店投标相关厂商沟通，标书准备；（李靖翔）</t>
    <phoneticPr fontId="1" type="noConversion"/>
  </si>
  <si>
    <t>12、工商大学智慧思政2期项目预验收，未通过；（张靖平）</t>
    <phoneticPr fontId="1" type="noConversion"/>
  </si>
  <si>
    <t>浙江工商大学</t>
    <phoneticPr fontId="1" type="noConversion"/>
  </si>
  <si>
    <t>工商大学智慧思政二期项目预验收，未通过</t>
    <phoneticPr fontId="1" type="noConversion"/>
  </si>
  <si>
    <t>13、中信银行智慧食堂标书制作；（郑小勇、施政）</t>
    <phoneticPr fontId="1" type="noConversion"/>
  </si>
  <si>
    <t>14、国网电力东阳电力公司、瑞安电力公司、萧山电力公司、浙江省电力绿智食堂项目；</t>
    <phoneticPr fontId="1" type="noConversion"/>
  </si>
  <si>
    <t>萧山电力公司</t>
    <phoneticPr fontId="1" type="noConversion"/>
  </si>
  <si>
    <t>15、 浙江万里学院 校园大脑项目推进；(齐益军)</t>
    <phoneticPr fontId="1" type="noConversion"/>
  </si>
  <si>
    <t>16、太原师范大学一卡通项目参数修订；(齐益军)</t>
    <phoneticPr fontId="1" type="noConversion"/>
  </si>
  <si>
    <t>太原师范学院</t>
    <phoneticPr fontId="1" type="noConversion"/>
  </si>
  <si>
    <t>太原师范大学一卡通项目参数修订</t>
    <phoneticPr fontId="1" type="noConversion"/>
  </si>
  <si>
    <t>17、 山西医科大学 三个项目申报书编制：一卡通系统、一体化出入、统一消息平台；(齐益军)</t>
    <phoneticPr fontId="1" type="noConversion"/>
  </si>
  <si>
    <t>18、 哈尔滨师范大学 一卡通项目项目需求分析报告及项目配置清单编制，并进行修订。(齐益军)</t>
    <phoneticPr fontId="1" type="noConversion"/>
  </si>
  <si>
    <t>19、 河北金融学院 通道闸机的项目。（杜辉）</t>
    <phoneticPr fontId="1" type="noConversion"/>
  </si>
  <si>
    <t>河北金融学院</t>
    <phoneticPr fontId="1" type="noConversion"/>
  </si>
  <si>
    <t>河北金融学院通道闸机</t>
    <phoneticPr fontId="1" type="noConversion"/>
  </si>
  <si>
    <t>3、国网电力，天台县电力公司、黄岩县电力公司、温州瑞安电力公司、嘉兴桐乡电力公司、浙江省电力公司项目推进；（潘燕忠）</t>
  </si>
  <si>
    <t>7、中信银行杭州分行智慧食堂软硬件服务商集采入围项目投标工作支持；（郑小勇）</t>
  </si>
  <si>
    <t>8、 山西大学 一卡通项目；（李叔平）</t>
  </si>
  <si>
    <t>9、中信银行智慧食堂入围项目；（李叔平）</t>
  </si>
  <si>
    <t>1、 河北地质大学 新校区一期工程一卡通、机房环境监测与多媒体教室建设项目（简称河北地质大学新校区一卡通系统建设项目）投标工作，主副标全支撑；（齐益军）</t>
    <phoneticPr fontId="1" type="noConversion"/>
  </si>
  <si>
    <t>6、中信银行杭州分行智慧食堂软硬件服务商集采入围项目投标工作支持，本周三提交投标文件，周五已得到开标消息，已入围中标此项目（郑小勇）</t>
    <phoneticPr fontId="1" type="noConversion"/>
  </si>
  <si>
    <t>已入围中标</t>
    <phoneticPr fontId="1" type="noConversion"/>
  </si>
  <si>
    <t>13、山西大学招标文件参数核对，讨论修改参数方案；（杜辉）</t>
    <phoneticPr fontId="1" type="noConversion"/>
  </si>
  <si>
    <t>10、横店影视学院投标1+3的编写与厂商沟通；（李靖翔）</t>
    <phoneticPr fontId="1" type="noConversion"/>
  </si>
  <si>
    <t>2、 浙江万里学院 校园大脑建设方案编制含PPT汇报及详细方案word；（齐益军、胡启灏）</t>
    <phoneticPr fontId="1" type="noConversion"/>
  </si>
  <si>
    <t>12、协同销售和 天津中德应用技术大学 沟通交流数据中台建设需求；（胡启灏）</t>
    <phoneticPr fontId="1" type="noConversion"/>
  </si>
  <si>
    <t>11、协同销售和 天津天狮学院 信息处、后勤处、采购处沟通交流项目建设需求；（胡启灏）</t>
    <phoneticPr fontId="1" type="noConversion"/>
  </si>
  <si>
    <t>高校</t>
    <phoneticPr fontId="1" type="noConversion"/>
  </si>
  <si>
    <t>天津天狮学院</t>
    <phoneticPr fontId="1" type="noConversion"/>
  </si>
  <si>
    <t>物联清单修改</t>
    <phoneticPr fontId="1" type="noConversion"/>
  </si>
  <si>
    <t>哈尔滨工业大学威海校区</t>
    <phoneticPr fontId="1" type="noConversion"/>
  </si>
  <si>
    <t>北交大威海IOC中心三期</t>
    <phoneticPr fontId="1" type="noConversion"/>
  </si>
  <si>
    <t>台州天台县电力绿智食堂</t>
    <phoneticPr fontId="1" type="noConversion"/>
  </si>
  <si>
    <t>台州黄岩县电力绿智食堂</t>
    <phoneticPr fontId="1" type="noConversion"/>
  </si>
  <si>
    <t>温州瑞安电力公司绿智食堂</t>
    <phoneticPr fontId="1" type="noConversion"/>
  </si>
  <si>
    <t>数字孪生+物联中台</t>
    <phoneticPr fontId="3" type="noConversion"/>
  </si>
  <si>
    <t>数字孪生+数据中台</t>
    <phoneticPr fontId="3" type="noConversion"/>
  </si>
  <si>
    <t>数字孪生+物联中台+数据中台</t>
    <phoneticPr fontId="3" type="noConversion"/>
  </si>
  <si>
    <t>数字孪生+数据中台</t>
    <phoneticPr fontId="1" type="noConversion"/>
  </si>
  <si>
    <t>数字孪生</t>
    <phoneticPr fontId="1" type="noConversion"/>
  </si>
  <si>
    <t>4、物联平台和小兰进行物联场景探索初步交流，拟针对门店待机耗电问题、无人灯问题、开关电耗费人力等痛点问题进一步分析，配合小兰围绕门店节能，降低运营成本，提升管理效率，提升控标能力等进行方案植入;(张靖平)</t>
    <phoneticPr fontId="1" type="noConversion"/>
  </si>
  <si>
    <t>5、物联： 长安大学 物联清单修改、 北交大 威海校区ioc三期申报书、 哈工大威海校区 ioc申报书；(张靖平)</t>
    <phoneticPr fontId="1" type="noConversion"/>
  </si>
  <si>
    <t>1、 河北地质大学 新校区建设一卡通工程项目投标工作，一主三副；（市场部）</t>
    <phoneticPr fontId="1" type="noConversion"/>
  </si>
  <si>
    <t>2、 北京理工大学 长三角研究院 智慧校园 配置方案修订；（齐益军）</t>
    <phoneticPr fontId="1" type="noConversion"/>
  </si>
  <si>
    <t>3、 浙江万里学院 校园大脑项目；（市场部）</t>
    <phoneticPr fontId="1" type="noConversion"/>
  </si>
  <si>
    <t>4、建行金华横店龙集采项目商务部分制作和去创建上传打印标书；（施政）</t>
    <phoneticPr fontId="1" type="noConversion"/>
  </si>
  <si>
    <t>5、东信集团招标参数沟通梳理；（杜辉）</t>
    <phoneticPr fontId="1" type="noConversion"/>
  </si>
  <si>
    <t>6、 广西科技大学 招标参数沟通、梳理提供；（杜辉）</t>
    <phoneticPr fontId="1" type="noConversion"/>
  </si>
  <si>
    <t>7、支持山西分公司大同办事处，关于融合服务解决方案PPT和相关项目资料；（郑小勇）</t>
    <phoneticPr fontId="1" type="noConversion"/>
  </si>
  <si>
    <t>8、横店影视投标，流标。PB的两家小公司被认为相似度高，为了合规保险废掉；（李靖翔）</t>
    <phoneticPr fontId="1" type="noConversion"/>
  </si>
  <si>
    <t>9、国网电力台州仙居电力公司、浙江省送变电公司、浙江瑞安电力公司、浙江省电力绿智食堂项目；（潘燕忠）</t>
    <phoneticPr fontId="1" type="noConversion"/>
  </si>
  <si>
    <t>10、 中国石油大学 主标技术方案编写完成；（张靖平）</t>
    <phoneticPr fontId="1" type="noConversion"/>
  </si>
  <si>
    <t>11、 北交大 威海校区IOC二期需求修改讨论，招标参数定稿;（张靖平）</t>
    <phoneticPr fontId="1" type="noConversion"/>
  </si>
  <si>
    <t>12、 杭州师范大学 物联中台招标参数演示项重新设计修改;（张靖平）</t>
    <phoneticPr fontId="1" type="noConversion"/>
  </si>
  <si>
    <t>13、智慧空间三个试点项目方案沟通，计划黄冈师范先做，下周博太科安排人现场调研;（张靖平）</t>
    <phoneticPr fontId="1" type="noConversion"/>
  </si>
  <si>
    <t>14、 淮阴师范 空调项目物联部分招标参数沟通定稿；（张靖平）</t>
    <phoneticPr fontId="1" type="noConversion"/>
  </si>
  <si>
    <t>15、 哈工大威海校区 数字孪生 申报书修改;（张靖平）</t>
    <phoneticPr fontId="1" type="noConversion"/>
  </si>
  <si>
    <t>16、 北京林业大学 物联申报资料;（张靖平）</t>
    <phoneticPr fontId="1" type="noConversion"/>
  </si>
  <si>
    <t>17、协助北京办事处编制 燕京理工学院 数据中台项目申报方案；（胡启灏）</t>
    <phoneticPr fontId="1" type="noConversion"/>
  </si>
  <si>
    <t>18、编制 天津中德应用技术大学 数据中台前期方案；（胡启灏）</t>
    <phoneticPr fontId="1" type="noConversion"/>
  </si>
  <si>
    <t>19、编制 青海理工学院 信息化建设“十五五”规划汇报PPT材料；（胡启灏）</t>
    <phoneticPr fontId="1" type="noConversion"/>
  </si>
  <si>
    <t>20、梳理河南省机关事务管理局项目信息，准备政务智慧园区解决方案编制工作；（李叔平）</t>
    <phoneticPr fontId="1" type="noConversion"/>
  </si>
  <si>
    <t>21、 台州学院 设备采购项目；（李叔平）</t>
    <phoneticPr fontId="1" type="noConversion"/>
  </si>
  <si>
    <t>22、 新疆财经大学 一卡通升级项目；（李叔平）</t>
    <phoneticPr fontId="1" type="noConversion"/>
  </si>
  <si>
    <t>三期申报书</t>
    <phoneticPr fontId="1" type="noConversion"/>
  </si>
  <si>
    <t>广西科技大学项目</t>
    <phoneticPr fontId="1" type="noConversion"/>
  </si>
  <si>
    <t>广西科技大学</t>
    <phoneticPr fontId="1" type="noConversion"/>
  </si>
  <si>
    <t>国网电力台州仙居电力公司</t>
    <phoneticPr fontId="1" type="noConversion"/>
  </si>
  <si>
    <t>东信集团</t>
    <phoneticPr fontId="1" type="noConversion"/>
  </si>
  <si>
    <t>协同销售和 天津天狮学院 信息处、后勤处、采购处沟通交流项目建设需求</t>
    <phoneticPr fontId="1" type="noConversion"/>
  </si>
  <si>
    <t>数字孪生 申报书修改</t>
    <phoneticPr fontId="1" type="noConversion"/>
  </si>
  <si>
    <t>协助北京办事处编制 燕京理工学院 数据中台项目申报方案</t>
    <phoneticPr fontId="1" type="noConversion"/>
  </si>
  <si>
    <t>编制 天津中德应用技术大学 数据中台前期方案</t>
    <phoneticPr fontId="1" type="noConversion"/>
  </si>
  <si>
    <t>台州学院设备采购项目</t>
    <phoneticPr fontId="1" type="noConversion"/>
  </si>
  <si>
    <t>新疆财经大学</t>
    <phoneticPr fontId="1" type="noConversion"/>
  </si>
  <si>
    <t>新疆财经大学一卡通升级项目</t>
    <phoneticPr fontId="1" type="noConversion"/>
  </si>
  <si>
    <t>设备采购</t>
  </si>
  <si>
    <t>入围</t>
    <phoneticPr fontId="1" type="noConversion"/>
  </si>
  <si>
    <t>东信集团入围项目</t>
    <phoneticPr fontId="1" type="noConversion"/>
  </si>
  <si>
    <t>投标类型</t>
    <phoneticPr fontId="1" type="noConversion"/>
  </si>
  <si>
    <t>WL2025060</t>
  </si>
  <si>
    <t>WL2025040</t>
  </si>
  <si>
    <t>WL2025052</t>
  </si>
  <si>
    <t>WL2025050</t>
  </si>
  <si>
    <t>WL2025039</t>
  </si>
  <si>
    <t>WL2025053</t>
  </si>
  <si>
    <t>WL2025038</t>
  </si>
  <si>
    <t>WL2025045</t>
  </si>
  <si>
    <t>WL2025047</t>
  </si>
  <si>
    <t>WL2025054</t>
  </si>
  <si>
    <t>WL2025059</t>
  </si>
  <si>
    <t>WL2025058</t>
  </si>
  <si>
    <t>WL2025041</t>
  </si>
  <si>
    <t>WL2025057</t>
    <phoneticPr fontId="1" type="noConversion"/>
  </si>
  <si>
    <t>WL2025048</t>
    <phoneticPr fontId="1" type="noConversion"/>
  </si>
  <si>
    <t>WL2025049</t>
    <phoneticPr fontId="1" type="noConversion"/>
  </si>
  <si>
    <t>WL2025056</t>
    <phoneticPr fontId="1" type="noConversion"/>
  </si>
  <si>
    <t>项目编号
(正元物联)</t>
    <phoneticPr fontId="1" type="noConversion"/>
  </si>
  <si>
    <t>河北工程技术学院</t>
    <phoneticPr fontId="1" type="noConversion"/>
  </si>
  <si>
    <t>河北工程技术学院物联平台方案</t>
    <phoneticPr fontId="1" type="noConversion"/>
  </si>
  <si>
    <t>原表格填写河北工程大学</t>
    <phoneticPr fontId="1" type="noConversion"/>
  </si>
  <si>
    <t>WL2025043</t>
    <phoneticPr fontId="1" type="noConversion"/>
  </si>
  <si>
    <t>成都农业科技职业学院</t>
  </si>
  <si>
    <t>成都农业科技职业学院电瓶车管理项目</t>
  </si>
  <si>
    <t>WL2025055</t>
  </si>
  <si>
    <t>山西临汾职业技术学院</t>
  </si>
  <si>
    <t>WL2025051</t>
  </si>
  <si>
    <t>四川美术学院</t>
  </si>
  <si>
    <t>四川美术学院智慧后勤设备及管理平台</t>
  </si>
  <si>
    <t>WL2025046</t>
  </si>
  <si>
    <t>北京服装学院</t>
  </si>
  <si>
    <t>WL2025042</t>
  </si>
  <si>
    <t>高校</t>
    <phoneticPr fontId="1" type="noConversion"/>
  </si>
  <si>
    <t>正元物联</t>
    <phoneticPr fontId="1" type="noConversion"/>
  </si>
  <si>
    <t>北京</t>
    <phoneticPr fontId="1" type="noConversion"/>
  </si>
  <si>
    <t>省外</t>
    <phoneticPr fontId="1" type="noConversion"/>
  </si>
  <si>
    <t>山西</t>
    <phoneticPr fontId="1" type="noConversion"/>
  </si>
  <si>
    <t>WL2025062</t>
    <phoneticPr fontId="1" type="noConversion"/>
  </si>
  <si>
    <t>WL2025061</t>
    <phoneticPr fontId="1" type="noConversion"/>
  </si>
  <si>
    <t>王焕</t>
    <phoneticPr fontId="1" type="noConversion"/>
  </si>
  <si>
    <t>杨飞</t>
    <phoneticPr fontId="1" type="noConversion"/>
  </si>
  <si>
    <t>徐永健</t>
    <phoneticPr fontId="1" type="noConversion"/>
  </si>
  <si>
    <t>刘伟</t>
    <phoneticPr fontId="1" type="noConversion"/>
  </si>
  <si>
    <t>黄熙睿</t>
  </si>
  <si>
    <t>李杰</t>
    <phoneticPr fontId="1" type="noConversion"/>
  </si>
  <si>
    <t>无账号暂未录入</t>
    <phoneticPr fontId="1" type="noConversion"/>
  </si>
  <si>
    <t>1、 万里学院 PPT，word方案修改；（市场部）</t>
    <phoneticPr fontId="1" type="noConversion"/>
  </si>
  <si>
    <t>2、向宁夏办事处梁璞提供银川市教育局中小学食品安全和膳食经费监管一体化平台PPT方案和配置单；（胡启灏）</t>
    <phoneticPr fontId="1" type="noConversion"/>
  </si>
  <si>
    <t>5、中标 河北地质大学 新校区一期工程项目（预算1700万1661万中标）。从周末到周四投标市场部完成了一主三幅所有文件的编写；（市场部）</t>
    <phoneticPr fontId="1" type="noConversion"/>
  </si>
  <si>
    <t>3、 重庆工商大学 智慧校园 2025-2026年项目初步规划；（齐益军）</t>
    <phoneticPr fontId="1" type="noConversion"/>
  </si>
  <si>
    <t>4、国网电力方面继续为“电力创新奖”申报制作技术报告、用户报告、汇报PPT等相关材料；（潘燕忠）</t>
    <phoneticPr fontId="1" type="noConversion"/>
  </si>
  <si>
    <t>5、支持浙江省 电科院 公司、浙江省电力绿智食堂项目；（潘燕忠）</t>
    <phoneticPr fontId="1" type="noConversion"/>
  </si>
  <si>
    <t>6、与 成都医学院 现代教育技术中心主任进行方案沟通，在学校现场驻场2天修改项目申报方案，本周六已经将初稿发给一线销售。(郑小勇)</t>
    <phoneticPr fontId="1" type="noConversion"/>
  </si>
  <si>
    <t>7、 浙江理工大学 智慧思政申报表；（张靖平）</t>
    <phoneticPr fontId="1" type="noConversion"/>
  </si>
  <si>
    <t>8、京林业大学物联中台及智慧空间项目远程汇报交流，申报及三家比价，最终申报金额142万，看后续审批情况， 北京林业大学 物联平台试用、会议室试点等事宜协调；（张靖平）</t>
    <phoneticPr fontId="1" type="noConversion"/>
  </si>
  <si>
    <t>9、 北交大 威海校区IOC二期设计方案、提前进场、一期问题修改等工作，预计7月份；（张靖平）</t>
    <phoneticPr fontId="1" type="noConversion"/>
  </si>
  <si>
    <t>10、 北京石油大学 沐光成长pb技术方案完成一份；（张靖平）</t>
    <phoneticPr fontId="1" type="noConversion"/>
  </si>
  <si>
    <t>11、贵州医科大AI+一站式学生社区项目申报书；（张靖平）</t>
    <phoneticPr fontId="1" type="noConversion"/>
  </si>
  <si>
    <t>12、陕西工程大学空调智能化项目清单；（张靖平）</t>
    <phoneticPr fontId="1" type="noConversion"/>
  </si>
  <si>
    <t>13、 西北师大 物联项目调研配合，清单配合整理中；（张靖平）</t>
    <phoneticPr fontId="1" type="noConversion"/>
  </si>
  <si>
    <t>14、上虞文化中心智能化集成系统方案评估，成本评估；（张靖平）</t>
    <phoneticPr fontId="1" type="noConversion"/>
  </si>
  <si>
    <t>15、江西开放大学 数字孪生 方案支持；（张靖平）</t>
    <phoneticPr fontId="1" type="noConversion"/>
  </si>
  <si>
    <t>16、桂林航天大学工申报书编写；（张靖平）</t>
    <phoneticPr fontId="1" type="noConversion"/>
  </si>
  <si>
    <t>17、 应急管理大学 物联需求沟通；（张靖平）</t>
    <phoneticPr fontId="1" type="noConversion"/>
  </si>
  <si>
    <t>18、 杭州师范大学 银校合作项目支持；（李叔平）</t>
    <phoneticPr fontId="1" type="noConversion"/>
  </si>
  <si>
    <t>19、 新乡学院 。基本定为与交行合作，2000w。校方真实需求还需敲定，总体聚焦公寓。银行清单已先行输出。（李靖翔）</t>
    <phoneticPr fontId="1" type="noConversion"/>
  </si>
  <si>
    <t>20、 河南师范大学 。基本确定与中行合作，中行重点关注客户，由新乡市分行受省行指示，直接对接学校。目前学校内部有支持新开普的派系，真实需求给不到我们。但负责银校合作的条线把我们推荐给了中行，目前先行配合中行编制清单，分为3500w，6000w，8200w三个版本。目前中行表示3500w基本是肯定能投的，其他额度主要是为了上省行再讨论（李靖翔）</t>
    <phoneticPr fontId="1" type="noConversion"/>
  </si>
  <si>
    <t>21、河南农林，与校方刚接洽，校方基本认可合作，预算目标400w+，我们先运作找到合适的合作银行（李靖翔）</t>
    <phoneticPr fontId="1" type="noConversion"/>
  </si>
  <si>
    <t>22、河南物流职业，银行已全力配合我们，预算750w左右。但信息中心主任当前仍是阻力点，还需运作（李靖翔）</t>
    <phoneticPr fontId="1" type="noConversion"/>
  </si>
  <si>
    <t>23、 西安航空职业技术学院 招标参数审核修改;(杜辉)</t>
    <phoneticPr fontId="1" type="noConversion"/>
  </si>
  <si>
    <t>24、浙江公路技师学院评分标书修改沟通;(杜辉)</t>
    <phoneticPr fontId="1" type="noConversion"/>
  </si>
  <si>
    <t>招标参数沟通、梳理提供</t>
    <phoneticPr fontId="1" type="noConversion"/>
  </si>
  <si>
    <t>招标参数沟通梳理</t>
    <phoneticPr fontId="1" type="noConversion"/>
  </si>
  <si>
    <t>重庆工商大学</t>
    <phoneticPr fontId="1" type="noConversion"/>
  </si>
  <si>
    <t>省外</t>
  </si>
  <si>
    <t>重庆工商大学 智慧校园</t>
    <phoneticPr fontId="1" type="noConversion"/>
  </si>
  <si>
    <t>成都医学院</t>
    <phoneticPr fontId="1" type="noConversion"/>
  </si>
  <si>
    <t>浙江理工大学智慧思政</t>
    <phoneticPr fontId="1" type="noConversion"/>
  </si>
  <si>
    <t>省内</t>
  </si>
  <si>
    <t>贵州医科大AI+一站式学生社区项目申报书</t>
    <phoneticPr fontId="1" type="noConversion"/>
  </si>
  <si>
    <t>西北师范大学</t>
    <phoneticPr fontId="1" type="noConversion"/>
  </si>
  <si>
    <t>西北师大物联项目</t>
    <phoneticPr fontId="1" type="noConversion"/>
  </si>
  <si>
    <t>上虞文化中心</t>
    <phoneticPr fontId="1" type="noConversion"/>
  </si>
  <si>
    <t>上虞文化中心智能化集成系统</t>
    <phoneticPr fontId="1" type="noConversion"/>
  </si>
  <si>
    <t>江西开放大学</t>
    <phoneticPr fontId="1" type="noConversion"/>
  </si>
  <si>
    <t>江西开放大学数字孪生</t>
    <phoneticPr fontId="1" type="noConversion"/>
  </si>
  <si>
    <t>桂林航天工业学院</t>
    <phoneticPr fontId="1" type="noConversion"/>
  </si>
  <si>
    <t>桂林航天大学工</t>
    <phoneticPr fontId="1" type="noConversion"/>
  </si>
  <si>
    <t>杭州师范大学 银校合作项目支持</t>
    <phoneticPr fontId="1" type="noConversion"/>
  </si>
  <si>
    <t xml:space="preserve">新乡学院 </t>
    <phoneticPr fontId="1" type="noConversion"/>
  </si>
  <si>
    <t>河南师范大学</t>
    <phoneticPr fontId="1" type="noConversion"/>
  </si>
  <si>
    <t>浙江公路技师学院</t>
    <phoneticPr fontId="1" type="noConversion"/>
  </si>
  <si>
    <t>北京应急管理大学</t>
    <phoneticPr fontId="1" type="noConversion"/>
  </si>
  <si>
    <t>北京应急管理大学物联</t>
    <phoneticPr fontId="1" type="noConversion"/>
  </si>
  <si>
    <t>西安工程大学</t>
    <phoneticPr fontId="1" type="noConversion"/>
  </si>
  <si>
    <t>西安工程大学空调智能化项目</t>
    <phoneticPr fontId="1" type="noConversion"/>
  </si>
  <si>
    <t>河南林业职业学院</t>
    <phoneticPr fontId="1" type="noConversion"/>
  </si>
  <si>
    <t>项目放弃</t>
    <phoneticPr fontId="1" type="noConversion"/>
  </si>
  <si>
    <t>WL2025069</t>
    <phoneticPr fontId="1" type="noConversion"/>
  </si>
  <si>
    <t>WL2025070</t>
    <phoneticPr fontId="1" type="noConversion"/>
  </si>
  <si>
    <t>WL2025071</t>
    <phoneticPr fontId="1" type="noConversion"/>
  </si>
  <si>
    <t>WL2025072</t>
    <phoneticPr fontId="1" type="noConversion"/>
  </si>
  <si>
    <t>WL2025073</t>
    <phoneticPr fontId="1" type="noConversion"/>
  </si>
  <si>
    <t>WL2025063</t>
    <phoneticPr fontId="1" type="noConversion"/>
  </si>
  <si>
    <t>WL2025064</t>
    <phoneticPr fontId="1" type="noConversion"/>
  </si>
  <si>
    <t>WL2025065</t>
    <phoneticPr fontId="1" type="noConversion"/>
  </si>
  <si>
    <t>WL2025066</t>
    <phoneticPr fontId="1" type="noConversion"/>
  </si>
  <si>
    <t>WL2025067</t>
    <phoneticPr fontId="1" type="noConversion"/>
  </si>
  <si>
    <t>WL2025068</t>
    <phoneticPr fontId="1" type="noConversion"/>
  </si>
  <si>
    <t>WL2025074</t>
    <phoneticPr fontId="1" type="noConversion"/>
  </si>
  <si>
    <t>WL2025075</t>
    <phoneticPr fontId="1" type="noConversion"/>
  </si>
  <si>
    <t>WL2025076</t>
    <phoneticPr fontId="1" type="noConversion"/>
  </si>
  <si>
    <t>WL2025077</t>
    <phoneticPr fontId="1" type="noConversion"/>
  </si>
  <si>
    <t>WL2025078</t>
    <phoneticPr fontId="1" type="noConversion"/>
  </si>
  <si>
    <t>1、 浙江万里学院 校园大脑建设项目招标参数编制工作；（齐益军）</t>
    <phoneticPr fontId="1" type="noConversion"/>
  </si>
  <si>
    <t>2、 黑龙江东方学院 智慧食堂建设及一卡通系统升级项目投标工作；（齐益军）</t>
    <phoneticPr fontId="1" type="noConversion"/>
  </si>
  <si>
    <t>3、启动智慧物联解决方案基础营销文件整理工作；（齐益军）</t>
    <phoneticPr fontId="1" type="noConversion"/>
  </si>
  <si>
    <t>4、协同运营事业部对接河南省省直机关后勤保障中心通信信息部，沟通了解项目整体规划和需求;（胡启灏）</t>
    <phoneticPr fontId="1" type="noConversion"/>
  </si>
  <si>
    <t>5、 北京大学 数学学院物联智慧空间交流，计划对学院大楼进行改造，需提报方案；（张靖平）</t>
    <phoneticPr fontId="1" type="noConversion"/>
  </si>
  <si>
    <t>6、 北京林业大学 物联演示，下一步需安排物联中台试用，会议室智能空间改造，为明年142万物联项目做准备；（张靖平）</t>
    <phoneticPr fontId="1" type="noConversion"/>
  </si>
  <si>
    <t>7、 大连海事大学 公寓楼物联方案编写，方案汇报，学校希望针对目前新建的两栋楼加载方案；（张靖平</t>
    <phoneticPr fontId="1" type="noConversion"/>
  </si>
  <si>
    <t>8、 中国石油大学 沐光成长计划平台pb-2编写；（张靖平）</t>
    <phoneticPr fontId="1" type="noConversion"/>
  </si>
  <si>
    <t>9、 西北师大 文科实训楼物联清单整理；（张靖平）</t>
    <phoneticPr fontId="1" type="noConversion"/>
  </si>
  <si>
    <t>10、 杭师大 物联中台招标参数调整；（张靖平）</t>
    <phoneticPr fontId="1" type="noConversion"/>
  </si>
  <si>
    <t>11、 北交大 IOC问题一期问题、二期计划协调；（张靖平）</t>
    <phoneticPr fontId="1" type="noConversion"/>
  </si>
  <si>
    <t>12、电力绿智食堂，三门电力公司、温岭电力公司、萧山电力公司、浙江省电力绿智食堂项目；（潘燕忠）</t>
    <phoneticPr fontId="1" type="noConversion"/>
  </si>
  <si>
    <t>13、海淀区智慧食堂采购项目(招标文件)；（李叔平）</t>
    <phoneticPr fontId="1" type="noConversion"/>
  </si>
  <si>
    <t>14、 河北地质大学 新校区一期工程一卡通、机房环境监测与多媒体教室建设项目（实施规划）；（李叔平）</t>
    <phoneticPr fontId="1" type="noConversion"/>
  </si>
  <si>
    <t>15、 山西大学 一卡通项目（招标文件）；（李叔平）；</t>
    <phoneticPr fontId="1" type="noConversion"/>
  </si>
  <si>
    <t>16、 中南林业科技大学 数智校园一校通消费管理平台和融合门户建设项目（投标文件）；（李叔平）</t>
    <phoneticPr fontId="1" type="noConversion"/>
  </si>
  <si>
    <t>17、泰康集团一卡通项目（投标文件）；（李叔平、郑小勇）</t>
    <phoneticPr fontId="1" type="noConversion"/>
  </si>
  <si>
    <t>18、 电子科技大学 一卡通项目（招标文件）；（李叔平）</t>
    <phoneticPr fontId="1" type="noConversion"/>
  </si>
  <si>
    <t>19、 长沙学院 一卡通升级改造项目（需求）；（李叔平）</t>
    <phoneticPr fontId="1" type="noConversion"/>
  </si>
  <si>
    <t>20、山东政治学院招标参数梳理输出（智能融合类项目）；（杜辉）</t>
    <phoneticPr fontId="1" type="noConversion"/>
  </si>
  <si>
    <t>21、宁夏商贸职业学校招标参数核对，梳理不满足点（校小虎的参数）；（杜辉）</t>
    <phoneticPr fontId="1" type="noConversion"/>
  </si>
  <si>
    <t>22、成都医学院 一卡通升级项目申报方案第二版第三版等的修改，由于学校负责老师要求多次修改，因此本周配合一线销售修改了申报方案两个版本；（郑小勇）</t>
    <phoneticPr fontId="1" type="noConversion"/>
  </si>
  <si>
    <t>重庆工商大学 智慧校园 2025-2026年项目初步规划</t>
  </si>
  <si>
    <t>智慧思政申报表</t>
  </si>
  <si>
    <t>上虞文化中心智能化集成系统方案评估，成本评估</t>
  </si>
  <si>
    <t>江西开放大学 数字孪生 方案支持</t>
  </si>
  <si>
    <t>桂林航天大学工申报书编写</t>
  </si>
  <si>
    <t>应急管理大学 物联需求沟通</t>
  </si>
  <si>
    <t>北京大学</t>
    <phoneticPr fontId="1" type="noConversion"/>
  </si>
  <si>
    <t>北京大学 数学学院物联智慧空间</t>
    <phoneticPr fontId="1" type="noConversion"/>
  </si>
  <si>
    <t>大连海事大学 公寓楼物联</t>
    <phoneticPr fontId="1" type="noConversion"/>
  </si>
  <si>
    <t>中国石油大学（北京）学生沐光成长计划数据平台建设项目</t>
    <phoneticPr fontId="1" type="noConversion"/>
  </si>
  <si>
    <t>文科实训楼物联清单整理</t>
    <phoneticPr fontId="1" type="noConversion"/>
  </si>
  <si>
    <t>三门电力公司</t>
    <phoneticPr fontId="1" type="noConversion"/>
  </si>
  <si>
    <t>温岭电力公司</t>
    <phoneticPr fontId="1" type="noConversion"/>
  </si>
  <si>
    <t>新校区一期工程一卡通、机房环境监测与多媒体教室建设项目（实施规划）</t>
    <phoneticPr fontId="1" type="noConversion"/>
  </si>
  <si>
    <t>泰康集团</t>
    <phoneticPr fontId="1" type="noConversion"/>
  </si>
  <si>
    <t>宁夏商贸职业学校</t>
    <phoneticPr fontId="1" type="noConversion"/>
  </si>
  <si>
    <t>WL2025080</t>
  </si>
  <si>
    <t>WL2025079</t>
  </si>
  <si>
    <t>WL2025044</t>
  </si>
  <si>
    <t>WL2025081</t>
    <phoneticPr fontId="1" type="noConversion"/>
  </si>
  <si>
    <t>1、 黑龙江东方学院 标书制作；（市场部）</t>
  </si>
  <si>
    <t>6、黑龙江东方学院封标（易时标书封标）；（邱春红）</t>
  </si>
  <si>
    <t>10、海淀区智慧食堂采购项目(招标文件)；（李叔平）</t>
  </si>
  <si>
    <t>13、黑龙江东方学院一卡通项目（标书）；（李叔平）</t>
  </si>
  <si>
    <t>24、杭州大达电力集团集中办公，主导规划浙江省送变电 新大 楼食堂项目；（潘燕忠）</t>
  </si>
  <si>
    <t>27、继续跟进浙江省电力绿智食堂项目；（潘燕忠）</t>
  </si>
  <si>
    <t>2、 长沙学院 一卡通升级项目交流；（杜辉）</t>
    <phoneticPr fontId="1" type="noConversion"/>
  </si>
  <si>
    <t>3、 中南林业科技大学 数智校园一校通招标参数核对梳理，协助整理质疑函 （新开普控标）；（杜辉）</t>
    <phoneticPr fontId="1" type="noConversion"/>
  </si>
  <si>
    <t>4、 四川工程职业技术大学 项目招标参数核对梳理；（杜辉）</t>
    <phoneticPr fontId="1" type="noConversion"/>
  </si>
  <si>
    <t>四川工程职业技术大学</t>
    <phoneticPr fontId="1" type="noConversion"/>
  </si>
  <si>
    <t>5、 浙江财经大学东方学院 创建标书封标；（邱春红）</t>
    <phoneticPr fontId="1" type="noConversion"/>
  </si>
  <si>
    <t>浙江财经大学东方学院</t>
    <phoneticPr fontId="1" type="noConversion"/>
  </si>
  <si>
    <t>7、泰康集团一卡通升级项目投标文件撰写，周一已完成投标文件，提交给北京分公司，下周一线上述标；（郑小勇）</t>
    <phoneticPr fontId="1" type="noConversion"/>
  </si>
  <si>
    <t>2025年泰康之家一卡通软硬件集采项目</t>
    <phoneticPr fontId="1" type="noConversion"/>
  </si>
  <si>
    <t>8、支持 成都医学院 一卡通升级申报方案的再版修改（李叔平、郑小勇）；</t>
    <phoneticPr fontId="1" type="noConversion"/>
  </si>
  <si>
    <t>9、主持杭州市政府信创升级改造方案（郑小勇）；</t>
    <phoneticPr fontId="1" type="noConversion"/>
  </si>
  <si>
    <t>杭州市政府</t>
    <phoneticPr fontId="1" type="noConversion"/>
  </si>
  <si>
    <t>杭州市政府信创升级改造</t>
    <phoneticPr fontId="1" type="noConversion"/>
  </si>
  <si>
    <t>信创</t>
  </si>
  <si>
    <t>11、 山西大学 一卡通项目（招标文件）；（李叔平）</t>
    <phoneticPr fontId="1" type="noConversion"/>
  </si>
  <si>
    <t>12、 电子科技大学 一卡通项目（招标文件）；（李叔平）</t>
    <phoneticPr fontId="1" type="noConversion"/>
  </si>
  <si>
    <t>14、 新疆财经大学 一卡通项目沟通、支持、协调；（李叔平）</t>
    <phoneticPr fontId="1" type="noConversion"/>
  </si>
  <si>
    <t>15、 西安理工大学 学工方案编写及出差汇报；（张靖平）</t>
    <phoneticPr fontId="1" type="noConversion"/>
  </si>
  <si>
    <t>学工方案编写及出差汇报</t>
    <phoneticPr fontId="1" type="noConversion"/>
  </si>
  <si>
    <t>16、 大连海事 两栋教学楼物联清单；（张靖平）</t>
    <phoneticPr fontId="1" type="noConversion"/>
  </si>
  <si>
    <t>17、 北京大学 物联申报方案（编写中）；（张靖平）</t>
    <phoneticPr fontId="1" type="noConversion"/>
  </si>
  <si>
    <t>18、 北京林业大学 物联日常配合，内部需求同步，资源协调等；（张靖平）</t>
    <phoneticPr fontId="1" type="noConversion"/>
  </si>
  <si>
    <t>浙江万里学院 校园大脑项目采购清单及采购参数编制；（齐益军）</t>
    <phoneticPr fontId="1" type="noConversion"/>
  </si>
  <si>
    <t>26、支撑温州瑞安电力公司绿智食堂项目，配合客户在申请费用中将项目报价单拆分为固定资产采购形式，解决客户项目费用申请的难题；（潘燕忠）</t>
    <phoneticPr fontId="1" type="noConversion"/>
  </si>
  <si>
    <t>25、浙江省变电新大楼电力食堂（现场考察），主导新大楼按照绿智食堂标准统筹建设等相关工作，现场向送变电领导汇报工作建设思路；（潘燕忠）</t>
    <phoneticPr fontId="1" type="noConversion"/>
  </si>
  <si>
    <t>23、 北交大 二期项目启动安排；（张靖平）</t>
    <phoneticPr fontId="1" type="noConversion"/>
  </si>
  <si>
    <t>21、绍兴新城实验情绪识别清单；（张靖平）</t>
    <phoneticPr fontId="1" type="noConversion"/>
  </si>
  <si>
    <t>22、 浙江农林大学 节能需求回复；（张靖平）</t>
    <phoneticPr fontId="1" type="noConversion"/>
  </si>
  <si>
    <t>19、长沙的大学物联中台清单；（张靖平）</t>
    <phoneticPr fontId="1" type="noConversion"/>
  </si>
  <si>
    <t>20、湖北集成商物联平台演示；（张靖平）</t>
    <phoneticPr fontId="1" type="noConversion"/>
  </si>
  <si>
    <t>长沙学院物联</t>
    <phoneticPr fontId="1" type="noConversion"/>
  </si>
  <si>
    <t>湖北集成商物联</t>
    <phoneticPr fontId="1" type="noConversion"/>
  </si>
  <si>
    <t>湖北集成商</t>
    <phoneticPr fontId="1" type="noConversion"/>
  </si>
  <si>
    <t>绍兴新城实验学校</t>
    <phoneticPr fontId="1" type="noConversion"/>
  </si>
  <si>
    <t>2、国网电力杭州大达电力集团，项目现场会、设计图修改、专家技术评审等相关事宜；（潘燕忠）</t>
    <phoneticPr fontId="1" type="noConversion"/>
  </si>
  <si>
    <t>项目招标参数核对梳理</t>
  </si>
  <si>
    <t>主持杭州市政府信创升级改造方案</t>
  </si>
  <si>
    <t>物联平台演示</t>
  </si>
  <si>
    <t>情绪识别清单</t>
  </si>
  <si>
    <t>3、国网电力省电力物资公司，主导省物资公司绿智食堂创建工作，现场调研、会议室PPT专项汇报；（潘燕忠）</t>
    <phoneticPr fontId="1" type="noConversion"/>
  </si>
  <si>
    <t>4、国网电力台州三门县绿智食堂改造项目，给出三门县绿智食堂评估与改造报告；（潘燕忠）</t>
    <phoneticPr fontId="1" type="noConversion"/>
  </si>
  <si>
    <t>5、国网电力继续跟进浙江省电力绿智食堂项目；（潘燕忠）</t>
    <phoneticPr fontId="1" type="noConversion"/>
  </si>
  <si>
    <t>6、 黑龙江东方学院 标书制作和现场开标中标；（市场部）</t>
    <phoneticPr fontId="1" type="noConversion"/>
  </si>
  <si>
    <t>7、支持泰康集团投标述标PPT方案；（郑小勇）</t>
    <phoneticPr fontId="1" type="noConversion"/>
  </si>
  <si>
    <t>8、支持 新疆第二医学院 智慧学院项目投标，编写组织投标材料；（郑小勇）</t>
    <phoneticPr fontId="1" type="noConversion"/>
  </si>
  <si>
    <t>1、协助宁夏办事处推进银川市教育局食安监管项目；(胡启灏)</t>
    <phoneticPr fontId="1" type="noConversion"/>
  </si>
  <si>
    <t>银川市教育局食安监管项目</t>
    <phoneticPr fontId="1" type="noConversion"/>
  </si>
  <si>
    <t>银川市教育局</t>
    <phoneticPr fontId="1" type="noConversion"/>
  </si>
  <si>
    <t>新疆第二医学院</t>
    <phoneticPr fontId="1" type="noConversion"/>
  </si>
  <si>
    <t>9、支持宁夏办事处陈圣洁，宁夏商贸职业学校投标方案和述标PPT；（郑小勇）</t>
    <phoneticPr fontId="1" type="noConversion"/>
  </si>
  <si>
    <t>支持宁夏办事处陈圣洁，宁夏商贸职业学校投标方案和述标PPT</t>
    <phoneticPr fontId="1" type="noConversion"/>
  </si>
  <si>
    <t>陈圣洁</t>
    <phoneticPr fontId="1" type="noConversion"/>
  </si>
  <si>
    <t>10、 北京林业大学 物联项目出差，会议场景四个厂家对接沟通，已有功能部署演示（效果不好，情况已反馈）等；（张靖平）</t>
    <phoneticPr fontId="1" type="noConversion"/>
  </si>
  <si>
    <t>11、 北京服装学院 物联网能耗管理项目清单整理；（张靖平）</t>
    <phoneticPr fontId="1" type="noConversion"/>
  </si>
  <si>
    <t>12、 大连海事 两栋楼清单修改，施工方沟通；（张靖平）</t>
    <phoneticPr fontId="1" type="noConversion"/>
  </si>
  <si>
    <t>14、贵州中医药物联申报参数配合；（张靖平）</t>
    <phoneticPr fontId="1" type="noConversion"/>
  </si>
  <si>
    <t>15、 长沙学院 物联平台参数提供；（张靖平）</t>
    <phoneticPr fontId="1" type="noConversion"/>
  </si>
  <si>
    <t>13、济南职业新校区物联初步方案提供；（张靖平）</t>
    <phoneticPr fontId="1" type="noConversion"/>
  </si>
  <si>
    <t>16、联创 贵州大学 图书馆AI方案研讨与同步。联创反馈暂时够用了，近期客户回来杭州一趟，到时候一起汇报沟通；（李靖翔）</t>
    <phoneticPr fontId="1" type="noConversion"/>
  </si>
  <si>
    <t>17、坚果北京海淀区的食安项目PB。基本事宜已沟通完毕，下周开始编写，技术部分纯编；（李靖翔）</t>
    <phoneticPr fontId="1" type="noConversion"/>
  </si>
  <si>
    <t>18、 万里学院 余姚校区建设规划PPT材料输出；（李靖翔）</t>
    <phoneticPr fontId="1" type="noConversion"/>
  </si>
  <si>
    <t>19、 北京语言大学 项目交流；（杜辉）</t>
    <phoneticPr fontId="1" type="noConversion"/>
  </si>
  <si>
    <t>20、 新疆财经大学 招标文件编写输出；（杜辉）</t>
    <phoneticPr fontId="1" type="noConversion"/>
  </si>
  <si>
    <t>招标文件编写输出</t>
    <phoneticPr fontId="1" type="noConversion"/>
  </si>
  <si>
    <t>21、 中南林业科技大学 数智校园一校通消费管理平台和融合门户建设项目；（李叔平）</t>
    <phoneticPr fontId="1" type="noConversion"/>
  </si>
  <si>
    <t>22、坚果K12项目、缙云县第二职业高中智慧教室项目；（李叔平）</t>
    <phoneticPr fontId="1" type="noConversion"/>
  </si>
  <si>
    <t>23、克拉玛依石油分行与新疆第二医学院校园信息化建设行业合作项目；（李叔平）</t>
    <phoneticPr fontId="1" type="noConversion"/>
  </si>
  <si>
    <t>24、新疆农职一卡通项目;（李叔平）</t>
    <phoneticPr fontId="1" type="noConversion"/>
  </si>
  <si>
    <t>25、 山西大学 一卡通项目；（李叔平）</t>
    <phoneticPr fontId="1" type="noConversion"/>
  </si>
  <si>
    <t>26、 杭州医学院 水控项目沟通、支持；（李叔平）</t>
    <phoneticPr fontId="1" type="noConversion"/>
  </si>
  <si>
    <t>27、齐齐哈尔立德健康职业学院整体 智慧校园 系统采购项目售前支撑；（市场部）</t>
    <phoneticPr fontId="1" type="noConversion"/>
  </si>
  <si>
    <t>28、西安航空一卡通项目投标演示内容协调以及演示设备借用（软件功能个性化开发，已完成，现场实测中）（邱春红）；</t>
    <phoneticPr fontId="1" type="noConversion"/>
  </si>
  <si>
    <t>29、首钢技师学院一卡通采购项目演示视频制作（进行中，下周完成，17号投标）（邱春红）；</t>
    <phoneticPr fontId="1" type="noConversion"/>
  </si>
  <si>
    <t>济南职业学院</t>
    <phoneticPr fontId="1" type="noConversion"/>
  </si>
  <si>
    <t>联创 贵州大学 图书馆AI</t>
    <phoneticPr fontId="1" type="noConversion"/>
  </si>
  <si>
    <t>联创</t>
    <phoneticPr fontId="1" type="noConversion"/>
  </si>
  <si>
    <t>贵州大学</t>
    <phoneticPr fontId="1" type="noConversion"/>
  </si>
  <si>
    <t>坚果</t>
    <phoneticPr fontId="1" type="noConversion"/>
  </si>
  <si>
    <t>北京海淀区</t>
    <phoneticPr fontId="1" type="noConversion"/>
  </si>
  <si>
    <t>万里学院余姚新建校区的整体建设</t>
    <phoneticPr fontId="1" type="noConversion"/>
  </si>
  <si>
    <t>北京语言大学项目</t>
    <phoneticPr fontId="1" type="noConversion"/>
  </si>
  <si>
    <t>北京语言大学</t>
    <phoneticPr fontId="1" type="noConversion"/>
  </si>
  <si>
    <t>缙云县第二职业高中智慧教室</t>
    <phoneticPr fontId="1" type="noConversion"/>
  </si>
  <si>
    <t>缙云县第二职业高中</t>
    <phoneticPr fontId="1" type="noConversion"/>
  </si>
  <si>
    <t>新疆农业职业技术大学一卡通项目</t>
    <phoneticPr fontId="1" type="noConversion"/>
  </si>
  <si>
    <t>新疆农业职业技术大学</t>
    <phoneticPr fontId="1" type="noConversion"/>
  </si>
  <si>
    <t>齐齐哈尔立德健康职业学院整体 智慧校园</t>
    <phoneticPr fontId="1" type="noConversion"/>
  </si>
  <si>
    <t>齐齐哈尔立德健康职业学院</t>
    <phoneticPr fontId="1" type="noConversion"/>
  </si>
  <si>
    <t>杭州医学院水控项目</t>
    <phoneticPr fontId="1" type="noConversion"/>
  </si>
  <si>
    <t>首钢技师学院</t>
    <phoneticPr fontId="1" type="noConversion"/>
  </si>
  <si>
    <t>30、 浙江万里学院 校园大脑采购清单及招标参数修订；</t>
    <phoneticPr fontId="1" type="noConversion"/>
  </si>
  <si>
    <t>矫宇</t>
    <phoneticPr fontId="1" type="noConversion"/>
  </si>
  <si>
    <t>9、支持温台分公司许正森，关于项目投标的2份副标方案；（郑小勇）</t>
  </si>
  <si>
    <t>10、支持宁夏办事处陈圣杰，关于项目投标的方案素材；（郑小勇）</t>
  </si>
  <si>
    <t>14、山西大学银校合作 “智慧校园建设” 集中采购项目（2807万）投标工作；</t>
  </si>
  <si>
    <t>15、首钢技师学院投标演示视频制作（中标，296万）（郑小勇，邱春红）；</t>
  </si>
  <si>
    <t>26、对接重庆分公司赵飞，协同产品化团队跟进两江新区教育局项目落地应用；（胡启灏）</t>
  </si>
  <si>
    <t>1、 三峡大学 第三代校园卡系统（一期）第一标段建设项目；（市场部）</t>
    <phoneticPr fontId="1" type="noConversion"/>
  </si>
  <si>
    <t>第三代校园卡系统（一期）第一标段建设项目</t>
    <phoneticPr fontId="1" type="noConversion"/>
  </si>
  <si>
    <t>高</t>
    <phoneticPr fontId="1" type="noConversion"/>
  </si>
  <si>
    <t>三峡大学第三代校园卡系统（一期）第一标段建设项目</t>
    <phoneticPr fontId="1" type="noConversion"/>
  </si>
  <si>
    <t>2、 中南林业科技大学 数智校园一校通 消费管理平台和融合门户项目；（市场部）</t>
    <phoneticPr fontId="1" type="noConversion"/>
  </si>
  <si>
    <t>中南林业科技大学数智校园一校通消费管理平台和融合门户项目</t>
    <phoneticPr fontId="1" type="noConversion"/>
  </si>
  <si>
    <t>3、中国农业银行太原分行 山西大学 银校合作 “ 智慧校园 建设” 集中采购项目；（市场部）</t>
    <phoneticPr fontId="1" type="noConversion"/>
  </si>
  <si>
    <t>4、[ID40204]资核中心幼儿园智慧食堂项目；（市场部）</t>
    <phoneticPr fontId="1" type="noConversion"/>
  </si>
  <si>
    <t>5、[ID40203]资核中心中小学智慧食堂项目；（市场部）</t>
    <phoneticPr fontId="1" type="noConversion"/>
  </si>
  <si>
    <t>协助宁夏办事处推进银川市教育局食安监管项目</t>
  </si>
  <si>
    <t>余姚校区建设规划PPT材料输出</t>
  </si>
  <si>
    <t>项目交流</t>
  </si>
  <si>
    <t>坚果K12项目、缙云县第二职业高中智慧教室项目</t>
  </si>
  <si>
    <t>智慧校园 系统采购项目售前支撑</t>
  </si>
  <si>
    <t>水控项目沟通、支持</t>
  </si>
  <si>
    <t>[ID40204]资核中心幼儿园智慧食堂项目</t>
    <phoneticPr fontId="1" type="noConversion"/>
  </si>
  <si>
    <t>[ID40203]资核中心中小学智慧食堂项目</t>
    <phoneticPr fontId="1" type="noConversion"/>
  </si>
  <si>
    <t>6、 电子科技大学 一卡通项目、泰康集团一卡通项目沟通、支持、推进；（市场部）</t>
    <phoneticPr fontId="1" type="noConversion"/>
  </si>
  <si>
    <t>电子科技大学一卡通项目</t>
    <phoneticPr fontId="1" type="noConversion"/>
  </si>
  <si>
    <t>泰康集团一卡通项目沟通、支持、推进</t>
    <phoneticPr fontId="1" type="noConversion"/>
  </si>
  <si>
    <t>7、编写 黄冈师范学院 电控系统建设项目投标文件编写，本周末加班，在周日已经提交项目投标文件到一线销售；（郑小勇）</t>
    <phoneticPr fontId="1" type="noConversion"/>
  </si>
  <si>
    <t>黄冈师范学院</t>
    <phoneticPr fontId="1" type="noConversion"/>
  </si>
  <si>
    <t>黄冈师范学院电控系统建设项目</t>
    <phoneticPr fontId="1" type="noConversion"/>
  </si>
  <si>
    <t>8、支持 成都医学院 一卡通升级项目申报方案，帮助现场审核修改版方案；（郑小勇）</t>
    <phoneticPr fontId="1" type="noConversion"/>
  </si>
  <si>
    <t>成都医学院一卡通升级项目</t>
    <phoneticPr fontId="1" type="noConversion"/>
  </si>
  <si>
    <t>11、 贵州大学 图书馆AI部分沟通，为下周客户到访做准备；（李靖翔）</t>
    <phoneticPr fontId="1" type="noConversion"/>
  </si>
  <si>
    <t>12、衢州教委银校合作清单包装；（李靖翔）</t>
    <phoneticPr fontId="1" type="noConversion"/>
  </si>
  <si>
    <t>13、广西职业师范招标文件参数核对（第三方参数，很多不满足，让筑波内部讨论明确可行性）；（杜辉）</t>
    <phoneticPr fontId="1" type="noConversion"/>
  </si>
  <si>
    <t>广西职业师范学院</t>
    <phoneticPr fontId="1" type="noConversion"/>
  </si>
  <si>
    <t>和上面重复</t>
    <phoneticPr fontId="1" type="noConversion"/>
  </si>
  <si>
    <t>16、西安航空演示协调，开普中标（邱春红）</t>
    <phoneticPr fontId="1" type="noConversion"/>
  </si>
  <si>
    <t>演示协调，开普中标</t>
    <phoneticPr fontId="1" type="noConversion"/>
  </si>
  <si>
    <t>西安航空学院</t>
    <phoneticPr fontId="1" type="noConversion"/>
  </si>
  <si>
    <t>西安航空学院银校合作-校园卡系统项目</t>
    <phoneticPr fontId="1" type="noConversion"/>
  </si>
  <si>
    <t>17、 北京林业大学 物联项目推进，下周产品经理出差演示，看最终效果呈现，如果效果达到预期的话下一步会议室招标会用我们参数，雄安新校区可以去测试；（张靖平）</t>
    <phoneticPr fontId="1" type="noConversion"/>
  </si>
  <si>
    <t>18、 淮阴师范 项目标书整理，智能管理平台部分技术方案；（张靖平）</t>
    <phoneticPr fontId="1" type="noConversion"/>
  </si>
  <si>
    <t>20、 北交大 威海校区IOC二期标书编写，协调等工作，7.30开标；（张靖平）</t>
    <phoneticPr fontId="1" type="noConversion"/>
  </si>
  <si>
    <t>21、 山东大学 AI框架ppt编写；（张靖平）</t>
    <phoneticPr fontId="1" type="noConversion"/>
  </si>
  <si>
    <t>22、 天津理工大学 预警项目招标参数和银行最后沟通，预计下周挂网；（张靖平）</t>
    <phoneticPr fontId="1" type="noConversion"/>
  </si>
  <si>
    <t>23、 济南职业学院 新校区空间物联方案提供，试点事宜协调，配单；（张靖平）</t>
    <phoneticPr fontId="1" type="noConversion"/>
  </si>
  <si>
    <t>济南职业学院新校区物联</t>
    <phoneticPr fontId="1" type="noConversion"/>
  </si>
  <si>
    <t>24、贵州中医药物联招标参数等素材提供区域；（张靖平）</t>
    <phoneticPr fontId="1" type="noConversion"/>
  </si>
  <si>
    <t>25、 广西大学 接待汇报，主要学工思政；（张靖平）</t>
    <phoneticPr fontId="1" type="noConversion"/>
  </si>
  <si>
    <t>广西大学</t>
    <phoneticPr fontId="1" type="noConversion"/>
  </si>
  <si>
    <t>衢州教育局</t>
    <phoneticPr fontId="1" type="noConversion"/>
  </si>
  <si>
    <t>衢州教育局银校合作</t>
    <phoneticPr fontId="1" type="noConversion"/>
  </si>
  <si>
    <t>和靖翔衢州教委同一项目</t>
    <phoneticPr fontId="1" type="noConversion"/>
  </si>
  <si>
    <t>27、编制衢州教育局项目二期清单的浙江省中行财审资料；（胡启灏）</t>
    <phoneticPr fontId="1" type="noConversion"/>
  </si>
  <si>
    <t>天津职业技术师范大学</t>
    <phoneticPr fontId="1" type="noConversion"/>
  </si>
  <si>
    <t>19、华东智能空调业务招标参数整理，完成50%，目前主要硬件参数出不来；（张靖平）</t>
    <phoneticPr fontId="1" type="noConversion"/>
  </si>
  <si>
    <t>华东智能空调业务</t>
    <phoneticPr fontId="1" type="noConversion"/>
  </si>
  <si>
    <t>华东智能空调</t>
    <phoneticPr fontId="1" type="noConversion"/>
  </si>
  <si>
    <t>高校</t>
    <phoneticPr fontId="1" type="noConversion"/>
  </si>
  <si>
    <t>黄冈师范学院二期物联教室</t>
  </si>
  <si>
    <t>WL2025082</t>
  </si>
  <si>
    <t>WL2025083</t>
  </si>
  <si>
    <t>四川正元内部会议室改造</t>
  </si>
  <si>
    <t>WL2025084</t>
  </si>
  <si>
    <t>陕西中医药大学智慧教室</t>
  </si>
  <si>
    <t>WL2025085</t>
  </si>
  <si>
    <t>西京学院</t>
  </si>
  <si>
    <t>西京学院能源管理</t>
  </si>
  <si>
    <t>WL2025086</t>
  </si>
  <si>
    <t>陕西中医药大学</t>
    <phoneticPr fontId="1" type="noConversion"/>
  </si>
  <si>
    <t>陕西</t>
    <phoneticPr fontId="1" type="noConversion"/>
  </si>
  <si>
    <t>省外</t>
    <phoneticPr fontId="1" type="noConversion"/>
  </si>
  <si>
    <t>四川正元</t>
    <phoneticPr fontId="1" type="noConversion"/>
  </si>
  <si>
    <t>企业</t>
    <phoneticPr fontId="1" type="noConversion"/>
  </si>
  <si>
    <t>支持</t>
    <phoneticPr fontId="1" type="noConversion"/>
  </si>
  <si>
    <t>淮阴师范学院智慧教室建设（空调）采购</t>
    <phoneticPr fontId="1" type="noConversion"/>
  </si>
  <si>
    <t>黄冈师范学院</t>
  </si>
  <si>
    <t>4、[ID40203]资核中心中小学智慧食堂项目；（李叔平）</t>
  </si>
  <si>
    <t>9、图书馆AI与联创沟通；（李靖翔）</t>
  </si>
  <si>
    <t>12、浙江工贸能耗项目出差交流，计划传统能耗管理基础上增加部分智慧空间；（张靖平）</t>
  </si>
  <si>
    <t>14、物联部分清单已经上报，预计今年跟两栋大楼改造一起做；（张靖平）</t>
  </si>
  <si>
    <t>20、新疆农业职业技术大学 一卡通项目同源数据池建设方案编制；（齐益军）</t>
    <phoneticPr fontId="1" type="noConversion"/>
  </si>
  <si>
    <t>1、 山西大学 标书及投标演示协调，演示设备已发现场以及配合相关投标资料整理；（齐益军、邱春红）</t>
    <phoneticPr fontId="1" type="noConversion"/>
  </si>
  <si>
    <t>2、中国农业银行太原分行山西大学银校合作 “ 智慧校园 建设” 集中采购项目；（李叔平） 中南林业科技大学 数智校园一校通 消费管理平台和融合门户项目；（李叔平）</t>
    <phoneticPr fontId="1" type="noConversion"/>
  </si>
  <si>
    <t>3、[ID40204]资核中心幼儿园智慧食堂项目；（李叔平）</t>
    <phoneticPr fontId="1" type="noConversion"/>
  </si>
  <si>
    <t>5、海淀区校园智慧食堂食安管理系统建设项目；（李叔平）</t>
    <phoneticPr fontId="1" type="noConversion"/>
  </si>
  <si>
    <t>海淀区校园智慧食堂食安管理系统建设项目</t>
    <phoneticPr fontId="1" type="noConversion"/>
  </si>
  <si>
    <t>6、浙江公路技师学院2025年信息化网络购建（数字校园）项目支持、跟进；（李叔平）</t>
    <phoneticPr fontId="1" type="noConversion"/>
  </si>
  <si>
    <t>浙江公路技师学院2025年信息化网络购建（数字校园）项目</t>
    <phoneticPr fontId="1" type="noConversion"/>
  </si>
  <si>
    <t>高</t>
    <phoneticPr fontId="1" type="noConversion"/>
  </si>
  <si>
    <t>7、 吉首大学 招标参数梳理输出（一卡通部分，原新中新参数）;(杜辉)</t>
    <phoneticPr fontId="1" type="noConversion"/>
  </si>
  <si>
    <t>8、 商丘医学高等专科学校 参数梳理输出（原新开普参数）；（杜辉）</t>
    <phoneticPr fontId="1" type="noConversion"/>
  </si>
  <si>
    <t>编写 黄冈师范学院 电控系统建设项目投标文件编写</t>
  </si>
  <si>
    <t>招标文件参数核对（第三方参数，很多不满足，让筑波内部讨论明确可行性）</t>
  </si>
  <si>
    <t>华东智能空调业务招标参数整理，完成50%，目前主要硬件参数出不来</t>
  </si>
  <si>
    <t>商丘医学高等专科学校</t>
    <phoneticPr fontId="1" type="noConversion"/>
  </si>
  <si>
    <t>10、完成温州市府大院政务后勤一体化项目配置单、PPT方案；（胡琪灏）</t>
    <phoneticPr fontId="1" type="noConversion"/>
  </si>
  <si>
    <t>温州市府大院</t>
    <phoneticPr fontId="1" type="noConversion"/>
  </si>
  <si>
    <t>11、温州龙湾电力食堂、温州洞头电力食堂、浙江省送变电绿智食堂项目、绍兴绿智食堂改造项目、浙江省电力绿智食堂项目；（潘燕忠）</t>
    <phoneticPr fontId="1" type="noConversion"/>
  </si>
  <si>
    <t>温州龙湾电力食堂</t>
    <phoneticPr fontId="1" type="noConversion"/>
  </si>
  <si>
    <t>温州洞头电力食堂</t>
    <phoneticPr fontId="1" type="noConversion"/>
  </si>
  <si>
    <t>绍兴绿智食堂改造项目</t>
    <phoneticPr fontId="1" type="noConversion"/>
  </si>
  <si>
    <t>13、 大连海事大学 出差智慧学工汇报交流；（张靖平）</t>
    <phoneticPr fontId="1" type="noConversion"/>
  </si>
  <si>
    <t>15、 杭州师范大学 物联平台项目招标，标书技术部分提供；（张靖平）</t>
    <phoneticPr fontId="1" type="noConversion"/>
  </si>
  <si>
    <t>16、 天津理工大学 思政预警项目挂网，标书编写中；（张靖平）</t>
    <phoneticPr fontId="1" type="noConversion"/>
  </si>
  <si>
    <t>天津银行营业部与天津理工大学开展“学生成长预警系统”合作项目</t>
    <phoneticPr fontId="1" type="noConversion"/>
  </si>
  <si>
    <t>17、 淮阴师范 智能空调项目，项目计划沟通，分公司反馈需要8月25号交付，风险高，待研发提供计划；（（张靖平）</t>
    <phoneticPr fontId="1" type="noConversion"/>
  </si>
  <si>
    <t>18、 北京林业大学 第五会议室物联部分招标参数提供，试点问题沟通（张靖平）；</t>
    <phoneticPr fontId="1" type="noConversion"/>
  </si>
  <si>
    <t>哈工大威海校区IOC</t>
    <phoneticPr fontId="1" type="noConversion"/>
  </si>
  <si>
    <t>19、 北交大 IOC二期标书技术方案提供（张靖平）；</t>
    <phoneticPr fontId="1" type="noConversion"/>
  </si>
  <si>
    <t>开标日期</t>
    <phoneticPr fontId="1" type="noConversion"/>
  </si>
  <si>
    <t>2、 支持北京海淀区智慧食堂食安管理系统建设项目7月30日主标及两份副标，8月11日投标的三个标段的主副标；7月30日项目已完成1800万中标（市场部）</t>
  </si>
  <si>
    <t>3、 对接四川正元刘晟的某集成商项目线索（食安监管大数据项目），梳理建设内容和公司产品匹配度；（胡启灏）明确项目。</t>
  </si>
  <si>
    <t>4、 对接江苏数币陈法伟的某集成商的中小学食安监管业务，提供PPT方案;（胡启灏）明确项目</t>
  </si>
  <si>
    <t>8、 西大学银校合作 “智慧校园建设” 集中采购项目投标文件编制；（齐益军）</t>
  </si>
  <si>
    <t>23、 支持宁夏办事处陈圣洁的一份投标文件的投标资料素材；（郑小勇）</t>
  </si>
  <si>
    <t>1、 台州学院 银行招标项目投标支持；（施政）</t>
    <phoneticPr fontId="1" type="noConversion"/>
  </si>
  <si>
    <t>6、 协助横店第二次投标；（李靖翔）</t>
    <phoneticPr fontId="1" type="noConversion"/>
  </si>
  <si>
    <t>7、 国家电网绿智食堂项目乐清电力食堂、瑞安绿智食堂、浙江省电力绿智食堂、湖州绿智食堂项目策划支撑。（潘燕忠）</t>
    <phoneticPr fontId="1" type="noConversion"/>
  </si>
  <si>
    <t>参数梳理输出（原新开普参数）</t>
  </si>
  <si>
    <t>25、 山西大学银校合作 “智慧校园建设” 集中采购项目2807万新开普2586.26万中标，我方丢标；（李叔平）</t>
    <phoneticPr fontId="1" type="noConversion"/>
  </si>
  <si>
    <t>新开普2586.26万中标，我方丢标</t>
    <phoneticPr fontId="1" type="noConversion"/>
  </si>
  <si>
    <t>中国农业银行太原分行山西大学银校合作“智慧校园建设”集中采购项目包件一：校园一卡通系统平台及相关系统</t>
    <phoneticPr fontId="1" type="noConversion"/>
  </si>
  <si>
    <t>9、 新疆农业职业技术大学 一卡通项目同源数据池建设方案编制；（齐益军）</t>
    <phoneticPr fontId="1" type="noConversion"/>
  </si>
  <si>
    <t>10、 湖北文理学院一卡通项目招标文件修订；（齐益军）</t>
    <phoneticPr fontId="1" type="noConversion"/>
  </si>
  <si>
    <t>11、  福建纺织学院教学楼空调智能化项目清单；（张靖平）</t>
    <phoneticPr fontId="1" type="noConversion"/>
  </si>
  <si>
    <t>12、 杭州师范大学物联平台项目中标，39万元；（张靖平）</t>
    <phoneticPr fontId="1" type="noConversion"/>
  </si>
  <si>
    <t>13、 北林 试点推进，雄安测试推进+本部测试问题跟踪+灵犀达对接新增需求；（张靖平）</t>
    <phoneticPr fontId="1" type="noConversion"/>
  </si>
  <si>
    <t>14、 天津理工大学 预警项目主标标书；（张靖平）</t>
    <phoneticPr fontId="1" type="noConversion"/>
  </si>
  <si>
    <t>15、 北京服装学院 物联网能管平台三家比价清单；（张靖平）</t>
    <phoneticPr fontId="1" type="noConversion"/>
  </si>
  <si>
    <t>物联网能管平台三家比价清单</t>
    <phoneticPr fontId="1" type="noConversion"/>
  </si>
  <si>
    <t>北京服装学院物联网能管平台</t>
    <phoneticPr fontId="1" type="noConversion"/>
  </si>
  <si>
    <t>16、 澳门科技大学 物联试点会议室方案拉通；（张靖平）</t>
    <phoneticPr fontId="1" type="noConversion"/>
  </si>
  <si>
    <t>物联试点会议室方案拉通</t>
    <phoneticPr fontId="1" type="noConversion"/>
  </si>
  <si>
    <t>澳门科技大学物联试点</t>
    <phoneticPr fontId="1" type="noConversion"/>
  </si>
  <si>
    <t>17、 广西大学 思政清单，汇报配合；（张靖平）</t>
    <phoneticPr fontId="1" type="noConversion"/>
  </si>
  <si>
    <t>思政清单，汇报配合</t>
    <phoneticPr fontId="1" type="noConversion"/>
  </si>
  <si>
    <t>广西大学思政</t>
    <phoneticPr fontId="1" type="noConversion"/>
  </si>
  <si>
    <t>智慧思政</t>
    <phoneticPr fontId="1" type="noConversion"/>
  </si>
  <si>
    <t>18、 衢州职业一卡通清单核对；（张靖平）</t>
    <phoneticPr fontId="1" type="noConversion"/>
  </si>
  <si>
    <t>19、 滨州医学院 物联清单提供；（张靖平）</t>
    <phoneticPr fontId="1" type="noConversion"/>
  </si>
  <si>
    <t>20、 云南师范大学 图书馆项目物联平台招标参数提供；（张靖平）</t>
    <phoneticPr fontId="1" type="noConversion"/>
  </si>
  <si>
    <t>21、 大连海事 思政清单；（张靖平）</t>
    <phoneticPr fontId="1" type="noConversion"/>
  </si>
  <si>
    <t>22、 支持四川正元刘晟的四川 电子科技大学 一卡通项目的融合平台和网络架构图；（郑小勇）</t>
    <phoneticPr fontId="1" type="noConversion"/>
  </si>
  <si>
    <t>刘晟</t>
    <phoneticPr fontId="1" type="noConversion"/>
  </si>
  <si>
    <t>24、 上海财经大学 “智慧校园”银校合作项目（招标需求及演示评估、修改，包1：528.85万预算、包2：430万预算）；（李叔平）</t>
    <phoneticPr fontId="1" type="noConversion"/>
  </si>
  <si>
    <t>上海财经大学 “智慧校园”银校合作项目</t>
    <phoneticPr fontId="1" type="noConversion"/>
  </si>
  <si>
    <t>26、 湖北文理学院尹集校区一卡通系统建设项目（磋商文件审核、修改）；（李叔平）</t>
    <phoneticPr fontId="1" type="noConversion"/>
  </si>
  <si>
    <t>27、 中南林业科技大学数智校园一校通 消费管理平台和融合门户项目（质疑佐证,761万预算：排名：中电信数智科技有限公司、新开普电子股份有限公司、正元智慧集团股份有限公司；（李叔平）</t>
    <phoneticPr fontId="1" type="noConversion"/>
  </si>
  <si>
    <t>28、 太原师院学院二期单一来源采购项目（430万预算）支持、跟进；（李叔平）</t>
    <phoneticPr fontId="1" type="noConversion"/>
  </si>
  <si>
    <t>湖北文理学院尹集校区一卡通系统建设项目</t>
    <phoneticPr fontId="1" type="noConversion"/>
  </si>
  <si>
    <t>湖北文理学院</t>
    <phoneticPr fontId="1" type="noConversion"/>
  </si>
  <si>
    <t>福建纺织学院教学楼空调智能化项目</t>
    <phoneticPr fontId="1" type="noConversion"/>
  </si>
  <si>
    <t>福建纺织学院</t>
    <phoneticPr fontId="1" type="noConversion"/>
  </si>
  <si>
    <t>滨州医学院物联</t>
    <phoneticPr fontId="1" type="noConversion"/>
  </si>
  <si>
    <t>滨州医学院</t>
    <phoneticPr fontId="1" type="noConversion"/>
  </si>
  <si>
    <t>云南师范大学 图书馆项目物联平台</t>
    <phoneticPr fontId="1" type="noConversion"/>
  </si>
  <si>
    <t>云南师范大学</t>
    <phoneticPr fontId="1" type="noConversion"/>
  </si>
  <si>
    <t>太原师院学院二期单一来源采购项目</t>
    <phoneticPr fontId="1" type="noConversion"/>
  </si>
  <si>
    <t>太原师院学院</t>
    <phoneticPr fontId="1" type="noConversion"/>
  </si>
  <si>
    <t>可能写错</t>
    <phoneticPr fontId="1" type="noConversion"/>
  </si>
  <si>
    <t>2、北京资核中心中小学智慧食堂项目三个标段投标文件编制；（胡启灏）</t>
  </si>
  <si>
    <t>7、浙江省万里教育集团“ 智慧校园 ”合作项目；（市场部）</t>
  </si>
  <si>
    <t>10、 浙师大 分公司和联创沟通确认，29间会议室下周分公司安排现场调研；（张靖平）</t>
  </si>
  <si>
    <t>1、北京资核中心中小学智慧食堂项目三个标段投标文件编制；（市场部）</t>
    <phoneticPr fontId="1" type="noConversion"/>
  </si>
  <si>
    <t>3、 新乡学院 交行清单说明协助；（李靖翔）</t>
    <phoneticPr fontId="1" type="noConversion"/>
  </si>
  <si>
    <t>4、横店影视二次投标协助，PB文件协查；（李靖翔）</t>
    <phoneticPr fontId="1" type="noConversion"/>
  </si>
  <si>
    <t>6、 湖北文理学院 尹集校区一卡通系统建设项目；（市场部）</t>
    <phoneticPr fontId="1" type="noConversion"/>
  </si>
  <si>
    <t>8、 北交大 物联试点前期工作沟通确认完成，下周实施；（张靖平）</t>
    <phoneticPr fontId="1" type="noConversion"/>
  </si>
  <si>
    <t>9、天津艺术学院新建校智慧空间远程交流；（张靖平）</t>
    <phoneticPr fontId="1" type="noConversion"/>
  </si>
  <si>
    <t>天津艺术学院新建校智慧空间</t>
    <phoneticPr fontId="1" type="noConversion"/>
  </si>
  <si>
    <t>天津艺术学院</t>
    <phoneticPr fontId="1" type="noConversion"/>
  </si>
  <si>
    <t>福建纺织学院教学楼空调智能化项目清单</t>
  </si>
  <si>
    <t>物联清单提供</t>
  </si>
  <si>
    <t>（430万预算）支持、跟进</t>
  </si>
  <si>
    <t>11、陕西中医药需求书；（张靖平）</t>
    <phoneticPr fontId="1" type="noConversion"/>
  </si>
  <si>
    <t>陕西中医药需求书</t>
    <phoneticPr fontId="1" type="noConversion"/>
  </si>
  <si>
    <t>5、国网电力，浙江省物资公司，福建省电力绿智食堂，浙江省电力绿智食堂，淳安（ 千岛湖 ）电力绿智食堂项目支撑；</t>
    <phoneticPr fontId="1" type="noConversion"/>
  </si>
  <si>
    <t>福建国网</t>
    <phoneticPr fontId="1" type="noConversion"/>
  </si>
  <si>
    <t>浙江横店影视职业学院“智慧校园”科技金融及数字金融合作项目</t>
    <phoneticPr fontId="1" type="noConversion"/>
  </si>
  <si>
    <t>4、完成海淀食安系列项目投标；（市场部）</t>
  </si>
  <si>
    <t>11、支持杭州、绍兴两个区域信创项目方案；（郑小勇）</t>
  </si>
  <si>
    <t>16、 北交大 威海校区物联试点启动卡通；（张靖平）</t>
  </si>
  <si>
    <t>1、优化调整温州市府大院政务后勤一体化平台PPT方案；（胡启灏）</t>
    <phoneticPr fontId="1" type="noConversion"/>
  </si>
  <si>
    <t>5、 完成政务后勤一体化平台PPT方案，已发给生态合作部江镏键、温台分公司胡浙鄂;（胡启灏）明确项目（李靖翔）</t>
    <phoneticPr fontId="1" type="noConversion"/>
  </si>
  <si>
    <t>优化调整温州市府大院政务后勤一体化平台PPT方案</t>
    <phoneticPr fontId="1" type="noConversion"/>
  </si>
  <si>
    <t>智慧后勤</t>
  </si>
  <si>
    <t>2、修改调整衢州教育局项目二期预算清单的浙江省中行财审资料；（胡启灏）</t>
    <phoneticPr fontId="1" type="noConversion"/>
  </si>
  <si>
    <t>3、编制河南省机关事务管理局项目招标参数；（胡启灏）</t>
    <phoneticPr fontId="1" type="noConversion"/>
  </si>
  <si>
    <t>5、衢州K12食品安全项目中行投资进行相关材料编制；（李靖翔）</t>
    <phoneticPr fontId="1" type="noConversion"/>
  </si>
  <si>
    <t>6、湖北文理一卡通转银行投资，农行相关资料编制；（李靖翔）</t>
    <phoneticPr fontId="1" type="noConversion"/>
  </si>
  <si>
    <t>7、河南 新乡学院 交行清单答疑；（李靖翔）</t>
    <phoneticPr fontId="1" type="noConversion"/>
  </si>
  <si>
    <t>9、浙江省电力绿智食堂支、琳平电力绿智食堂改造项目持续跟进;（潘燕忠）</t>
    <phoneticPr fontId="1" type="noConversion"/>
  </si>
  <si>
    <t>8、国网电力，苍南电力食堂费用申报汇报，泰顺电力食堂费用申报汇报，龙港电力食堂费用申报；（潘燕忠）</t>
    <phoneticPr fontId="1" type="noConversion"/>
  </si>
  <si>
    <t>苍南电力绿智食堂</t>
    <phoneticPr fontId="1" type="noConversion"/>
  </si>
  <si>
    <t>龙港电力绿智食堂</t>
    <phoneticPr fontId="1" type="noConversion"/>
  </si>
  <si>
    <t>临平电力绿智食堂</t>
    <phoneticPr fontId="1" type="noConversion"/>
  </si>
  <si>
    <t>天津艺术学院新建校智慧空间远程交流</t>
    <phoneticPr fontId="1" type="noConversion"/>
  </si>
  <si>
    <t>10、本周支持 长沙学院 一卡通升级项目，编写长沙学院一卡通升级项目申报方案Word和宣讲方案PPT；（郑小勇）</t>
    <phoneticPr fontId="1" type="noConversion"/>
  </si>
  <si>
    <t>12、中国银行股份有限公司宁波市分行“浙江省万里教育集团“ 智慧校园 ”合作项目（第二期第一阶段）;（李叔平）；</t>
    <phoneticPr fontId="1" type="noConversion"/>
  </si>
  <si>
    <t>中国银行股份有限公司宁波市分行“浙江省万里教育集团“智慧校园”合作项目（第二期第一阶段）</t>
    <phoneticPr fontId="1" type="noConversion"/>
  </si>
  <si>
    <t>13、 大连海事大学 一卡通升级项目（NFC）；（李叔平）</t>
    <phoneticPr fontId="1" type="noConversion"/>
  </si>
  <si>
    <t>大连海事大学一卡通升级项目（NFC）</t>
    <phoneticPr fontId="1" type="noConversion"/>
  </si>
  <si>
    <t>14、城大学工二期申报书；（张靖平）</t>
    <phoneticPr fontId="1" type="noConversion"/>
  </si>
  <si>
    <t>15、 浙江师范大学 现场勘点调研，拉博太科沟通可行性，29间会议室大概一半可以做；（张靖平）</t>
    <phoneticPr fontId="1" type="noConversion"/>
  </si>
  <si>
    <t>17、安徽工业职业空调项目需求沟通，4G控制器需求反馈博太科；（张靖平）</t>
    <phoneticPr fontId="1" type="noConversion"/>
  </si>
  <si>
    <t>18、 西安工程 物联立项书修改；（张靖平）</t>
    <phoneticPr fontId="1" type="noConversion"/>
  </si>
  <si>
    <t>19、 北京林业大学 物联word方案修改；（张靖平）</t>
    <phoneticPr fontId="1" type="noConversion"/>
  </si>
  <si>
    <t>南京工业大学 项目AI大模型需求协调，前期需求确认；（邱春红）</t>
    <phoneticPr fontId="1" type="noConversion"/>
  </si>
  <si>
    <t>香港城市大学东莞校区学工</t>
    <phoneticPr fontId="1" type="noConversion"/>
  </si>
  <si>
    <t>广东</t>
    <phoneticPr fontId="1" type="noConversion"/>
  </si>
  <si>
    <t>香港城市大学东莞校区</t>
    <phoneticPr fontId="1" type="noConversion"/>
  </si>
  <si>
    <t>浙江师范大学</t>
    <phoneticPr fontId="1" type="noConversion"/>
  </si>
  <si>
    <t>安徽工业职业技术学院空调项目</t>
    <phoneticPr fontId="1" type="noConversion"/>
  </si>
  <si>
    <t>安徽</t>
    <phoneticPr fontId="1" type="noConversion"/>
  </si>
  <si>
    <t>安徽工业职业技术学院</t>
    <phoneticPr fontId="1" type="noConversion"/>
  </si>
  <si>
    <t>最后更新日期</t>
    <phoneticPr fontId="1" type="noConversion"/>
  </si>
  <si>
    <t>WL2025088</t>
  </si>
  <si>
    <t>WL2025089</t>
  </si>
  <si>
    <t>WL2025090</t>
  </si>
  <si>
    <t>浙江师范大学29间会议室项目</t>
    <phoneticPr fontId="1" type="noConversion"/>
  </si>
  <si>
    <t>河南物流职业学院300间教室改造</t>
    <phoneticPr fontId="1" type="noConversion"/>
  </si>
  <si>
    <t>湖南科技学院</t>
    <phoneticPr fontId="1" type="noConversion"/>
  </si>
  <si>
    <t>湖南科技学院200间教室智慧空间改造</t>
    <phoneticPr fontId="1" type="noConversion"/>
  </si>
  <si>
    <t>WL2025087</t>
    <phoneticPr fontId="1" type="noConversion"/>
  </si>
  <si>
    <t>克拉玛依石油分行与新疆第二医学院校园信息化建设行业合作项目</t>
    <phoneticPr fontId="1" type="noConversion"/>
  </si>
  <si>
    <t>开普中标</t>
    <phoneticPr fontId="1" type="noConversion"/>
  </si>
  <si>
    <t>矫宇</t>
    <phoneticPr fontId="1" type="noConversion"/>
  </si>
  <si>
    <t>1、《银川职业技术学院校园智能运营中心建设方案》编写并提交给甘青宁;（胡启灏）</t>
  </si>
  <si>
    <t>4、 暨大 修缮项目周四投标，联通已中标；该项目旨在构建“一体化后勤数字基座+应用”的架构思路，具有较强的创新性，无法通过简单堆彻产品完成交付，建议公司指派一名专职 项目经理 ；（田丰）</t>
  </si>
  <si>
    <t>14、余杭育英商机接洽；（李靖翔）</t>
  </si>
  <si>
    <t>20、港城大学工二期申报书；（张靖平）</t>
  </si>
  <si>
    <t>2、 北理工 长三角研究院 智慧校园 项目进入招投标阶段，与嘉兴办事处、古格尔相关人员讨论有关工作开展事宜，确定由古格尔先起草采购参数；（齐益军）</t>
    <phoneticPr fontId="1" type="noConversion"/>
  </si>
  <si>
    <t>3、修改调整衢州市教育局项目二期预算清单；（胡启灏）</t>
    <phoneticPr fontId="1" type="noConversion"/>
  </si>
  <si>
    <t>12、衢州市教育局食安投资清单调整；（李靖翔）</t>
    <phoneticPr fontId="1" type="noConversion"/>
  </si>
  <si>
    <t>5、 北京交通大学 威海校区2025-2028年度一卡通维保及IT技术服务外包采购项目开标；（施政）</t>
    <phoneticPr fontId="1" type="noConversion"/>
  </si>
  <si>
    <t>国网电力苍南电力食堂费用申报汇报</t>
  </si>
  <si>
    <t>龙港电力食堂费用申报汇报</t>
  </si>
  <si>
    <t>临平电力绿智食堂改造项目持续跟进</t>
  </si>
  <si>
    <t>300间教室改造，预计今年落单</t>
  </si>
  <si>
    <t>北京交通大学 威海校区2025-2028年度一卡通维保及IT技术服务外包采购项目</t>
    <phoneticPr fontId="1" type="noConversion"/>
  </si>
  <si>
    <t>施政</t>
    <phoneticPr fontId="1" type="noConversion"/>
  </si>
  <si>
    <t>6、支持 长沙学院 一卡通升级项目，修改一版前期申报方案；（郑小勇）</t>
    <phoneticPr fontId="1" type="noConversion"/>
  </si>
  <si>
    <t>7、 吉首大学 招标参数审核及演示内容沟通；（杜辉）</t>
    <phoneticPr fontId="1" type="noConversion"/>
  </si>
  <si>
    <t>8、 广西中医药大学 赛恩斯学院招标参数满足度核对（大部分为新开普写的招标参数）；（杜辉）</t>
    <phoneticPr fontId="1" type="noConversion"/>
  </si>
  <si>
    <t>广西中医药大学赛恩斯新医药学院</t>
    <phoneticPr fontId="1" type="noConversion"/>
  </si>
  <si>
    <t>9、 吉利学院 招标参数审核修改（协助产品部）；（杜辉）</t>
    <phoneticPr fontId="1" type="noConversion"/>
  </si>
  <si>
    <t>吉利学院</t>
    <phoneticPr fontId="1" type="noConversion"/>
  </si>
  <si>
    <t>吉利学院项目</t>
    <phoneticPr fontId="1" type="noConversion"/>
  </si>
  <si>
    <t>10、华能e购智慧餐厅建设和运维项目报名，梳理招标文件满足情况（是软件定制开发项目，硬件基本为第三方产品）；（杜辉）</t>
    <phoneticPr fontId="1" type="noConversion"/>
  </si>
  <si>
    <t>华能</t>
    <phoneticPr fontId="1" type="noConversion"/>
  </si>
  <si>
    <t>华能e购智慧餐厅建设和运维项目</t>
    <phoneticPr fontId="1" type="noConversion"/>
  </si>
  <si>
    <t>11、湖北文理银行投资清单调整；（李靖翔）</t>
    <phoneticPr fontId="1" type="noConversion"/>
  </si>
  <si>
    <t>13、 贵州大学 图书馆AI问题讨论；（李靖翔）</t>
    <phoneticPr fontId="1" type="noConversion"/>
  </si>
  <si>
    <t>贵州大学 图书馆AI问题讨论</t>
    <phoneticPr fontId="1" type="noConversion"/>
  </si>
  <si>
    <t>16、 西安工程 空调物联项目招标参数修改，增加演示项；（张靖平）</t>
    <phoneticPr fontId="1" type="noConversion"/>
  </si>
  <si>
    <t>17、 浙江师范大学 会议室物联项目方案+清单编写，联创、分公司对齐；（张靖平）</t>
    <phoneticPr fontId="1" type="noConversion"/>
  </si>
  <si>
    <t>18、 天津理工大学 学生预警项目中标，中标金额59万；（张靖平）</t>
    <phoneticPr fontId="1" type="noConversion"/>
  </si>
  <si>
    <t>19、 安徽工业职业技术学院 空调物联清单V2；（张靖平）</t>
    <phoneticPr fontId="1" type="noConversion"/>
  </si>
  <si>
    <t>21、 北交大 、 北林 物联试点各种协调工作；（张靖平）</t>
    <phoneticPr fontId="1" type="noConversion"/>
  </si>
  <si>
    <t>中电信数智科技有限公司中标</t>
    <phoneticPr fontId="1" type="noConversion"/>
  </si>
  <si>
    <t>15、国网电力，温州洞头 新大 楼电力食堂、华云总部特迅大厦、浙江省电力绿智食堂项目、温州瑞安绿智食堂四处项目跟进；（潘燕忠）</t>
    <phoneticPr fontId="1" type="noConversion"/>
  </si>
  <si>
    <t>温州洞头 新大 楼电力食堂项目跟进</t>
    <phoneticPr fontId="1" type="noConversion"/>
  </si>
  <si>
    <t>华云总部特迅大厦</t>
    <phoneticPr fontId="1" type="noConversion"/>
  </si>
  <si>
    <t>华云总部特迅大厦绿智食堂项目</t>
    <phoneticPr fontId="1" type="noConversion"/>
  </si>
  <si>
    <t>杭州师范大学智慧教学物联感知平台</t>
    <phoneticPr fontId="1" type="noConversion"/>
  </si>
  <si>
    <t>7、支持宁夏销售陈圣洁，一卡通项目招标参数支持提供；（郑小勇）</t>
  </si>
  <si>
    <t>1、中国光大银行济南分行智慧食堂入围项目现场投标;（邱春红）</t>
    <phoneticPr fontId="1" type="noConversion"/>
  </si>
  <si>
    <t>2、吉首大学一卡通项目投标演示视频整理，下周交付；（邱春红）</t>
    <phoneticPr fontId="1" type="noConversion"/>
  </si>
  <si>
    <t>北京交通大学 威海校区2025-2028年度一卡通维保及IT技术服务外包采购项目开标，移动321万中标</t>
  </si>
  <si>
    <t>广西中医药大学 赛恩斯学院招标参数满足度核对（大部分为新开普写的招标参数）</t>
  </si>
  <si>
    <t>吉利学院 招标参数审核修改（协助产品部）</t>
  </si>
  <si>
    <t>华能e购智慧餐厅建设和运维项目报名，梳理招标文件满足情况（是软件定制开发项目，硬件基本为第三方产品）</t>
  </si>
  <si>
    <t>华云总部特迅大厦项目跟进</t>
  </si>
  <si>
    <t>中国光大银行济南分行智慧食堂</t>
    <phoneticPr fontId="1" type="noConversion"/>
  </si>
  <si>
    <t>中国光大银行济南分行</t>
    <phoneticPr fontId="1" type="noConversion"/>
  </si>
  <si>
    <t>3、石家庄工商职业学院校园一卡通项目；（李叔平）</t>
    <phoneticPr fontId="1" type="noConversion"/>
  </si>
  <si>
    <t>4、湖南省机关事务管理局项目支持；（李叔平）</t>
    <phoneticPr fontId="1" type="noConversion"/>
  </si>
  <si>
    <t>5、支持山西医科大学汾阳学院智慧校园建设二期项目投标，编辑提供一卡通系统管理中心的功能项证明材料文件；（郑小勇）</t>
    <phoneticPr fontId="1" type="noConversion"/>
  </si>
  <si>
    <t>6、支持甘肃省委党校信创项目，提供信创基础设施改造方案；（郑小勇）</t>
    <phoneticPr fontId="1" type="noConversion"/>
  </si>
  <si>
    <t>8、宁夏工贸学校招标参数协助，沟通设置控标参数点；（杜辉）</t>
    <phoneticPr fontId="1" type="noConversion"/>
  </si>
  <si>
    <t>无具体学校</t>
    <phoneticPr fontId="1" type="noConversion"/>
  </si>
  <si>
    <t>9、宁夏固原师范招标文件参数初稿核对满足情况，提出修改建议（大部分为新开普参数）；（杜辉）</t>
    <phoneticPr fontId="1" type="noConversion"/>
  </si>
  <si>
    <t>10、香港城市大学东莞校区接待，物联+孪生讲解，浙大交流参与，项目组织方案建议书编写；（张靖平）</t>
    <phoneticPr fontId="1" type="noConversion"/>
  </si>
  <si>
    <t>11、温州理工学院思政汇报，古戈尔对接；（张靖平）</t>
    <phoneticPr fontId="1" type="noConversion"/>
  </si>
  <si>
    <t>12、淮阴师范软件需求评审，问题推进，交付对接推进；（张靖平）</t>
    <phoneticPr fontId="1" type="noConversion"/>
  </si>
  <si>
    <t>13、滨州医学院智慧思政申报书；（张靖平）</t>
    <phoneticPr fontId="1" type="noConversion"/>
  </si>
  <si>
    <t>滨州医学院智慧思政</t>
    <phoneticPr fontId="1" type="noConversion"/>
  </si>
  <si>
    <t>智慧思政</t>
    <phoneticPr fontId="1" type="noConversion"/>
  </si>
  <si>
    <t>14、北京林业、北大、浙师大等物联项目日常零散沟通事宜；（张靖平）</t>
    <phoneticPr fontId="1" type="noConversion"/>
  </si>
  <si>
    <t>15、天津理工大学预警项目中标后启动事宜协调；（张靖平）</t>
    <phoneticPr fontId="1" type="noConversion"/>
  </si>
  <si>
    <t>16、育英职院总集规划方案初版；（李靖翔）</t>
    <phoneticPr fontId="1" type="noConversion"/>
  </si>
  <si>
    <t>18、湖北文理农行过程资料编制；（李靖翔）</t>
    <phoneticPr fontId="1" type="noConversion"/>
  </si>
  <si>
    <t>20、国网电力丽水青田电力食堂、温州泰顺绿智食堂项目、浙江省电力绿智食堂项目、萧山绿智食堂改造项目；（潘燕忠）</t>
    <phoneticPr fontId="1" type="noConversion"/>
  </si>
  <si>
    <t>17、衢州教育局食安项目招标参数编制；（胡启灏、李靖翔）</t>
    <phoneticPr fontId="1" type="noConversion"/>
  </si>
  <si>
    <t>19、温理工AI试点校交流；（李靖翔）</t>
    <phoneticPr fontId="1" type="noConversion"/>
  </si>
  <si>
    <t>项目跟进</t>
    <phoneticPr fontId="1" type="noConversion"/>
  </si>
  <si>
    <t>石家庄工商职业学院</t>
    <phoneticPr fontId="1" type="noConversion"/>
  </si>
  <si>
    <t>湖南省机关事务管理局项目</t>
    <phoneticPr fontId="1" type="noConversion"/>
  </si>
  <si>
    <t>湖南省机关事务管理局</t>
    <phoneticPr fontId="1" type="noConversion"/>
  </si>
  <si>
    <t>山西医科大学汾阳学院智慧校园建设二期</t>
    <phoneticPr fontId="1" type="noConversion"/>
  </si>
  <si>
    <t>山西医科大学汾阳学院</t>
    <phoneticPr fontId="1" type="noConversion"/>
  </si>
  <si>
    <t>甘肃省委党校信创项目</t>
    <phoneticPr fontId="1" type="noConversion"/>
  </si>
  <si>
    <t>甘肃省委党校</t>
    <phoneticPr fontId="1" type="noConversion"/>
  </si>
  <si>
    <t>宁夏工贸学校</t>
    <phoneticPr fontId="1" type="noConversion"/>
  </si>
  <si>
    <t>宁夏师范大学</t>
    <phoneticPr fontId="1" type="noConversion"/>
  </si>
  <si>
    <t>浙江育英职业技术学院总集项目</t>
    <phoneticPr fontId="1" type="noConversion"/>
  </si>
  <si>
    <t>浙江育英职业技术学院</t>
    <phoneticPr fontId="1" type="noConversion"/>
  </si>
  <si>
    <t>石家庄工商职业学院校园一卡通系统采购（2025年智慧校园建设项目）</t>
    <phoneticPr fontId="1" type="noConversion"/>
  </si>
  <si>
    <t>2、中国石油大学具有社会和行业竞争力的学生培养改革汇报材料整理提供学校；（张靖平）</t>
  </si>
  <si>
    <t>17、育英交流；（李靖翔）</t>
  </si>
  <si>
    <t>19、跟进河南省委项目招标进度情况。</t>
    <phoneticPr fontId="1" type="noConversion"/>
  </si>
  <si>
    <t>20、物联项目新增：南开大学、喀什职业、天津第三中心亿元、吉利大厦项目</t>
    <phoneticPr fontId="1" type="noConversion"/>
  </si>
  <si>
    <t>21、山东石油化工学院统一融合门户项目现场投标</t>
    <phoneticPr fontId="1" type="noConversion"/>
  </si>
  <si>
    <t>22、吉首大学一卡通项目投标演示视频素材梳理以及视频制作（视频完成一半，下周完成）</t>
    <phoneticPr fontId="1" type="noConversion"/>
  </si>
  <si>
    <t>1、淮阴师范交付跟踪，交期问题等协调工作；（张靖平）</t>
    <phoneticPr fontId="1" type="noConversion"/>
  </si>
  <si>
    <t>4、港城大东莞校区组织分工，工作流程建议书编写提供分公司；（张靖平）</t>
    <phoneticPr fontId="1" type="noConversion"/>
  </si>
  <si>
    <t>港城大东莞校区组织分工，工作流程建议书编写提供分公司</t>
    <phoneticPr fontId="1" type="noConversion"/>
  </si>
  <si>
    <t>5、物联试点推进:山东外事温控器计划协调，北林雄安校区测试推进；（张靖平）</t>
    <phoneticPr fontId="1" type="noConversion"/>
  </si>
  <si>
    <t>6、北大数科学院二次交流后方案调整对齐；（张靖平）</t>
    <phoneticPr fontId="1" type="noConversion"/>
  </si>
  <si>
    <t>7、浙理科艺银校项目对标；（张靖平）</t>
    <phoneticPr fontId="1" type="noConversion"/>
  </si>
  <si>
    <t>8、温州理工ai+思政文字版素材整理；（张靖平）</t>
    <phoneticPr fontId="1" type="noConversion"/>
  </si>
  <si>
    <t>9、浙江科技大学自助称重设备购置项目;（李叔平）</t>
    <phoneticPr fontId="1" type="noConversion"/>
  </si>
  <si>
    <t>3、天津市第三医院东丽院区项目数字孪生，医院导航部分清单提供分公司；（张靖平）</t>
    <phoneticPr fontId="1" type="noConversion"/>
  </si>
  <si>
    <t>天津市第三医院东丽院区项目数字孪生</t>
    <phoneticPr fontId="1" type="noConversion"/>
  </si>
  <si>
    <t>天津市第三医院东丽院区</t>
    <phoneticPr fontId="1" type="noConversion"/>
  </si>
  <si>
    <t>支持甘肃省委党校信创项目，提供信创基础设施改造方案</t>
  </si>
  <si>
    <t>宁夏工贸学校招标参数协助，沟通设置控标参数点</t>
  </si>
  <si>
    <t>浙江科技大学</t>
    <phoneticPr fontId="1" type="noConversion"/>
  </si>
  <si>
    <t>浙江科技大学自助称重设备购置项目</t>
  </si>
  <si>
    <t>10、黄淮学院智慧食堂管理系统建设项目支持；（李叔平）</t>
    <phoneticPr fontId="1" type="noConversion"/>
  </si>
  <si>
    <t>黄淮学院</t>
    <phoneticPr fontId="1" type="noConversion"/>
  </si>
  <si>
    <t>黄淮学院智慧食堂管理系统建设项目</t>
    <phoneticPr fontId="1" type="noConversion"/>
  </si>
  <si>
    <t>11、新疆农职项目申辩材料讨论；（市场部）</t>
    <phoneticPr fontId="1" type="noConversion"/>
  </si>
  <si>
    <t>12、协助浙江横店影视职业学院标书上传；（施政）</t>
    <phoneticPr fontId="1" type="noConversion"/>
  </si>
  <si>
    <t>13、支持江西中行智慧食堂信创项目，提供信创改造方案；（郑小勇）</t>
    <phoneticPr fontId="1" type="noConversion"/>
  </si>
  <si>
    <t>其他事业单位</t>
  </si>
  <si>
    <t>江西中行智慧食堂信创项目</t>
    <phoneticPr fontId="1" type="noConversion"/>
  </si>
  <si>
    <t>14、湖南工学院智慧校园项目，准备下周出差交流的湖南工学院智慧校园建设方案；（郑小勇）</t>
    <phoneticPr fontId="1" type="noConversion"/>
  </si>
  <si>
    <t>湖南工学院</t>
    <phoneticPr fontId="1" type="noConversion"/>
  </si>
  <si>
    <t>湖南工学院智慧校园项目</t>
    <phoneticPr fontId="1" type="noConversion"/>
  </si>
  <si>
    <t>15、湖北文理农行新清单配置；（李靖翔）</t>
    <phoneticPr fontId="1" type="noConversion"/>
  </si>
  <si>
    <t>16、衢州教育局招标参数设计；（李靖翔、胡启灏）</t>
    <phoneticPr fontId="1" type="noConversion"/>
  </si>
  <si>
    <t>温州乐清电力食堂</t>
    <phoneticPr fontId="1" type="noConversion"/>
  </si>
  <si>
    <t>18、国网电力华云下沙科技园、台州天台县电力食堂、温州瑞安、温州乐清项目；</t>
    <phoneticPr fontId="1" type="noConversion"/>
  </si>
  <si>
    <t>南开大学</t>
    <phoneticPr fontId="1" type="noConversion"/>
  </si>
  <si>
    <t>吉利大厦</t>
    <phoneticPr fontId="1" type="noConversion"/>
  </si>
  <si>
    <t>山东石油化工学院</t>
    <phoneticPr fontId="1" type="noConversion"/>
  </si>
  <si>
    <t>山东石油化工学院统一融合门户项目</t>
    <phoneticPr fontId="1" type="noConversion"/>
  </si>
  <si>
    <t>喀什职业技术学院</t>
    <phoneticPr fontId="1" type="noConversion"/>
  </si>
  <si>
    <t>没有挂项目</t>
    <phoneticPr fontId="1" type="noConversion"/>
  </si>
  <si>
    <t>WL2025091</t>
    <phoneticPr fontId="1" type="noConversion"/>
  </si>
  <si>
    <t>金智中标</t>
    <phoneticPr fontId="1" type="noConversion"/>
  </si>
  <si>
    <t>1、协助新疆办事处处理中国银行新疆分行新疆农业职业技术大学校园一卡通项目相关事宜，包括同源数据池建设方案编制、数据平台项目实时能力证明素材搜集等工作；（齐益军）</t>
    <phoneticPr fontId="1" type="noConversion"/>
  </si>
  <si>
    <t>协助新疆办事处处理中国银行新疆分行新疆农业职业技术大学校园一卡通项目相关事宜，包括同源数据池建设方案编制、数据平台项目实时能力证明素材搜集等工作</t>
    <phoneticPr fontId="1" type="noConversion"/>
  </si>
  <si>
    <t>2、支撑国网电力天台电力；（潘燕忠）</t>
    <phoneticPr fontId="1" type="noConversion"/>
  </si>
  <si>
    <t>3、本周支撑丽水景宁、庆元、缙云县电力绿智食堂项目，推动销售何海青和电力客户签单，其中景宁电力：20万，庆元电力：21万，缙云：20万，共计61万；（潘燕忠）</t>
    <phoneticPr fontId="1" type="noConversion"/>
  </si>
  <si>
    <t>丽水景宁绿智食堂</t>
    <phoneticPr fontId="1" type="noConversion"/>
  </si>
  <si>
    <r>
      <rPr>
        <b/>
        <sz val="12"/>
        <color theme="0"/>
        <rFont val="微软雅黑"/>
        <family val="2"/>
        <charset val="134"/>
      </rPr>
      <t>中标/签单金额</t>
    </r>
    <r>
      <rPr>
        <b/>
        <sz val="10"/>
        <color theme="0"/>
        <rFont val="微软雅黑"/>
        <family val="2"/>
        <charset val="134"/>
      </rPr>
      <t xml:space="preserve">
</t>
    </r>
    <r>
      <rPr>
        <b/>
        <sz val="10"/>
        <color rgb="FFFF0000"/>
        <rFont val="微软雅黑"/>
        <family val="2"/>
        <charset val="134"/>
      </rPr>
      <t>(状态为"中标/已签单"的填写)</t>
    </r>
    <phoneticPr fontId="1" type="noConversion"/>
  </si>
  <si>
    <t>已签单</t>
  </si>
  <si>
    <t>4、支撑浙江省送变电绿智食堂项目、进浙江省电力绿智食堂项目；（潘燕忠）</t>
    <phoneticPr fontId="1" type="noConversion"/>
  </si>
  <si>
    <t>淳安(千岛湖)电力绿智食堂</t>
    <phoneticPr fontId="1" type="noConversion"/>
  </si>
  <si>
    <t>5、修改调整河南省委项目招标参数，已同步至销售；(胡启灏)</t>
    <phoneticPr fontId="1" type="noConversion"/>
  </si>
  <si>
    <t>6、与浙江理工大学科艺学院信息中心通过线上会议沟通交流校级统一门户建设；(胡启灏)</t>
    <phoneticPr fontId="1" type="noConversion"/>
  </si>
  <si>
    <t>7、广西防城港金川工厂招标参数整理输出；(杜辉）</t>
    <phoneticPr fontId="1" type="noConversion"/>
  </si>
  <si>
    <t>企业</t>
    <phoneticPr fontId="1" type="noConversion"/>
  </si>
  <si>
    <t>广西防城港金川工厂</t>
    <phoneticPr fontId="1" type="noConversion"/>
  </si>
  <si>
    <t>天津市第三医院东丽院区项目数字孪生，医院导航部分清单提供分公司</t>
  </si>
  <si>
    <t>黄淮学院智慧食堂管理系统建设项目支持</t>
  </si>
  <si>
    <t>6、日照职业技术学院天台山校区一卡通项目投标素材输出；(杜辉)</t>
    <phoneticPr fontId="1" type="noConversion"/>
  </si>
  <si>
    <t>日照职业技术学院天台山校区</t>
    <phoneticPr fontId="1" type="noConversion"/>
  </si>
  <si>
    <t>8、育英青山湖新建校预算规划与交流；（李靖翔）</t>
    <phoneticPr fontId="1" type="noConversion"/>
  </si>
  <si>
    <t>10、支持湖南工学院智慧校园建设项目；（郑小勇）</t>
    <phoneticPr fontId="1" type="noConversion"/>
  </si>
  <si>
    <t>支持湖南工学院智慧校园建设项目</t>
    <phoneticPr fontId="1" type="noConversion"/>
  </si>
  <si>
    <t>11、支持湖南工艺美术职业学院；（郑小勇）</t>
    <phoneticPr fontId="1" type="noConversion"/>
  </si>
  <si>
    <t>湖南工艺美术职业学院</t>
    <phoneticPr fontId="1" type="noConversion"/>
  </si>
  <si>
    <t>12、支持威海职业技术学院的身份核验项目申报方案；（郑小勇）</t>
    <phoneticPr fontId="1" type="noConversion"/>
  </si>
  <si>
    <t>13、吉首大学一卡通项目投标演示视频制作（已完成，周五投标，暂未出结果）；（邱春红）</t>
    <phoneticPr fontId="1" type="noConversion"/>
  </si>
  <si>
    <t>吉首大学一卡通项目投标演示视频制作（已完成，周五投标，暂未出结果）</t>
    <phoneticPr fontId="1" type="noConversion"/>
  </si>
  <si>
    <t>14、西安工程大学物联项目招标参数沟通确定，等银行资金到位招标；（张靖平）</t>
    <phoneticPr fontId="1" type="noConversion"/>
  </si>
  <si>
    <t>15、山东外事大学物联设备协调到位，下周实施部署；（张靖平）</t>
    <phoneticPr fontId="1" type="noConversion"/>
  </si>
  <si>
    <t>16、士官学校物联需求联创沟通，清单提供；（张靖平）</t>
    <phoneticPr fontId="1" type="noConversion"/>
  </si>
  <si>
    <t>17、北京大学物联清单及方案修改提供；（张靖平）</t>
    <phoneticPr fontId="1" type="noConversion"/>
  </si>
  <si>
    <t>北京大学物联清单及方案修改提供</t>
    <phoneticPr fontId="1" type="noConversion"/>
  </si>
  <si>
    <t>18、浙江师范大学大学井盖监测项目申报书；（张靖平）</t>
    <phoneticPr fontId="1" type="noConversion"/>
  </si>
  <si>
    <t>浙江师范大学大学井盖监测项目申报书</t>
    <phoneticPr fontId="1" type="noConversion"/>
  </si>
  <si>
    <t>19、北林等物联试点问题日常推进；（张靖平）</t>
    <phoneticPr fontId="1" type="noConversion"/>
  </si>
  <si>
    <t>20、助横店影视学院龙集采开标;（施政）</t>
    <phoneticPr fontId="1" type="noConversion"/>
  </si>
  <si>
    <t>支持威海职业技术学院的身份核验项目申报方案</t>
    <phoneticPr fontId="1" type="noConversion"/>
  </si>
  <si>
    <t>中国人民武装警察部队士官学校</t>
    <phoneticPr fontId="1" type="noConversion"/>
  </si>
  <si>
    <t>9、科艺AI方案与AI+融合门户交流；（李靖翔）</t>
    <phoneticPr fontId="1" type="noConversion"/>
  </si>
  <si>
    <t>浙江理工科学艺术学院统一门户、AI</t>
    <phoneticPr fontId="1" type="noConversion"/>
  </si>
  <si>
    <t>入围</t>
    <phoneticPr fontId="1" type="noConversion"/>
  </si>
  <si>
    <t>移动和广州鑫澳康入围</t>
    <phoneticPr fontId="1" type="noConversion"/>
  </si>
  <si>
    <t>河北科曼55万中标</t>
    <phoneticPr fontId="1" type="noConversion"/>
  </si>
  <si>
    <t>1、东北农业大学一卡通项目；（李叔平）</t>
  </si>
  <si>
    <t>东北农业大学一卡通项目</t>
    <phoneticPr fontId="1" type="noConversion"/>
  </si>
  <si>
    <t>胡：与浙江理工大学科艺学院信息中心通过线上会议沟通交流校级统一门户建设
李：科艺AI方案与AI+融合门户交流</t>
  </si>
  <si>
    <t>广西防城港金川工厂招标参数整理输出</t>
  </si>
  <si>
    <t>支持湖南工艺美术职业学院</t>
  </si>
  <si>
    <t>士官学校物联需求联创沟通，清单提供</t>
  </si>
  <si>
    <t>东北农业大学</t>
    <phoneticPr fontId="1" type="noConversion"/>
  </si>
  <si>
    <t>2、浙江中医药大学智慧思政项目；（市场部）</t>
    <phoneticPr fontId="1" type="noConversion"/>
  </si>
  <si>
    <t>浙江中医药大学智慧思政项目</t>
    <phoneticPr fontId="1" type="noConversion"/>
  </si>
  <si>
    <t>浙江中医药大学</t>
    <phoneticPr fontId="1" type="noConversion"/>
  </si>
  <si>
    <t>3、中国银行台江支行闽江师范高等专科学校银校合作项目支持；（李叔平）</t>
    <phoneticPr fontId="1" type="noConversion"/>
  </si>
  <si>
    <t>中国银行台江支行闽江师范高等专科学校银校合作项目</t>
    <phoneticPr fontId="1" type="noConversion"/>
  </si>
  <si>
    <t>闽江师范高等专科学校</t>
    <phoneticPr fontId="1" type="noConversion"/>
  </si>
  <si>
    <t>4、哈尔滨师范大学来访接待一卡通项目支持；（市场部）</t>
    <phoneticPr fontId="1" type="noConversion"/>
  </si>
  <si>
    <t>哈尔滨师范大学来访接待一卡通项目支持</t>
    <phoneticPr fontId="1" type="noConversion"/>
  </si>
  <si>
    <t>江西省中行</t>
    <phoneticPr fontId="1" type="noConversion"/>
  </si>
  <si>
    <t>5、江西省中行信创立项评审；（李叔平）</t>
    <phoneticPr fontId="1" type="noConversion"/>
  </si>
  <si>
    <t>江西省中行信创立项评审</t>
    <phoneticPr fontId="1" type="noConversion"/>
  </si>
  <si>
    <t>李叔平</t>
    <phoneticPr fontId="1" type="noConversion"/>
  </si>
  <si>
    <t>天元公学</t>
    <phoneticPr fontId="1" type="noConversion"/>
  </si>
  <si>
    <t>7、天元公学商机推进，由于商机路径比较特殊，需要先基本先接触两轮确定可行性，并在合适的时机引入公司公司销售；（李靖翔）</t>
    <phoneticPr fontId="1" type="noConversion"/>
  </si>
  <si>
    <t>台州市交行项目</t>
    <phoneticPr fontId="1" type="noConversion"/>
  </si>
  <si>
    <t>6、基于台州学院的新情况，针对中行、交行分别准备对应投资规模的预设清单。中行由于计划投资7000W，整体清单预估凑不齐，需要大量的“非真实交付”内容设计；（李靖翔）</t>
    <phoneticPr fontId="1" type="noConversion"/>
  </si>
  <si>
    <t>8、编制浙江大学衢州研究院智慧院区一码通平台项目汇报材料（word）；（胡启灏）</t>
    <phoneticPr fontId="1" type="noConversion"/>
  </si>
  <si>
    <t>浙江大学衢州研究院</t>
    <phoneticPr fontId="1" type="noConversion"/>
  </si>
  <si>
    <t>9、编制科尔沁艺术职业学院智慧校园项目配置单、申报书，并同步内蒙古销售于跃；（胡启灏）</t>
    <phoneticPr fontId="1" type="noConversion"/>
  </si>
  <si>
    <t>科尔沁艺术职业学院</t>
    <phoneticPr fontId="1" type="noConversion"/>
  </si>
  <si>
    <t>内蒙</t>
    <phoneticPr fontId="1" type="noConversion"/>
  </si>
  <si>
    <t>浙江大学衢州研究院智慧院区一码通平台项目</t>
    <phoneticPr fontId="1" type="noConversion"/>
  </si>
  <si>
    <t>科尔沁艺术职业学院智慧校园项目</t>
    <phoneticPr fontId="1" type="noConversion"/>
  </si>
  <si>
    <t>10、支持威海职业学院身份核验平台建设项目；（郑小勇）</t>
    <phoneticPr fontId="1" type="noConversion"/>
  </si>
  <si>
    <t>威海职业学院</t>
    <phoneticPr fontId="1" type="noConversion"/>
  </si>
  <si>
    <t>11、支持青岛康复大学一卡通人脸识别集成方案修改；（郑小勇）</t>
    <phoneticPr fontId="1" type="noConversion"/>
  </si>
  <si>
    <t>青岛康复大学</t>
    <phoneticPr fontId="1" type="noConversion"/>
  </si>
  <si>
    <t>青岛康复大学一卡通</t>
    <phoneticPr fontId="1" type="noConversion"/>
  </si>
  <si>
    <t>12、支持成都医学院一卡通升级项目；（郑小勇）</t>
    <phoneticPr fontId="1" type="noConversion"/>
  </si>
  <si>
    <t>支持成都医学院一卡通升级项目</t>
    <phoneticPr fontId="1" type="noConversion"/>
  </si>
  <si>
    <t>西安石油大学</t>
    <phoneticPr fontId="1" type="noConversion"/>
  </si>
  <si>
    <t>14、西安石油大学预警项目PPT编写；（张靖平）</t>
    <phoneticPr fontId="1" type="noConversion"/>
  </si>
  <si>
    <t>西安石油大学预警项目</t>
    <phoneticPr fontId="1" type="noConversion"/>
  </si>
  <si>
    <t>智慧思政</t>
    <phoneticPr fontId="1" type="noConversion"/>
  </si>
  <si>
    <t>17、北京林业大学雄安测试效果不佳，客户问题交流反馈博太科，待响应；（张靖平）</t>
    <phoneticPr fontId="1" type="noConversion"/>
  </si>
  <si>
    <t>18、杭师大物联平台沟通，初步明确交付范围；（张靖平）</t>
    <phoneticPr fontId="1" type="noConversion"/>
  </si>
  <si>
    <t>19、云南师范大学图书馆项目，物联部分证明材料提供，演示视频协调；（张靖平）</t>
    <phoneticPr fontId="1" type="noConversion"/>
  </si>
  <si>
    <t>15、中国石油大学（北京）思政精品项目申报书编写；（张靖平）</t>
    <phoneticPr fontId="1" type="noConversion"/>
  </si>
  <si>
    <t>杨飞</t>
    <phoneticPr fontId="1" type="noConversion"/>
  </si>
  <si>
    <t>16、北京林业大学校长会议室中标，货物采购协调，交付需要确认；（张靖平）</t>
    <phoneticPr fontId="1" type="noConversion"/>
  </si>
  <si>
    <t>20、基础教育业务部物联业务交流，开化一中教室物联需求配合；（张靖平）</t>
    <phoneticPr fontId="1" type="noConversion"/>
  </si>
  <si>
    <t>北京林业大学校长会议室</t>
    <phoneticPr fontId="1" type="noConversion"/>
  </si>
  <si>
    <t>北京林业大学</t>
    <phoneticPr fontId="1" type="noConversion"/>
  </si>
  <si>
    <t>开化一中教室物联</t>
    <phoneticPr fontId="1" type="noConversion"/>
  </si>
  <si>
    <t>开化一中</t>
    <phoneticPr fontId="1" type="noConversion"/>
  </si>
  <si>
    <t>13、国网电力，浙江省电科院、华云下沙产业园、福建国网电力、金华兰溪、义乌、东阳；（潘燕忠）</t>
    <phoneticPr fontId="1" type="noConversion"/>
  </si>
  <si>
    <t>金华兰溪电力绿智食堂</t>
    <phoneticPr fontId="1" type="noConversion"/>
  </si>
  <si>
    <t>10、上海财经大学“智慧校园”银校合作项目；（李叔平）</t>
  </si>
  <si>
    <t>1、国网电力宁波宁海县电力公司；（潘燕忠）</t>
    <phoneticPr fontId="1" type="noConversion"/>
  </si>
  <si>
    <t>国网电力宁波宁海县电力公司</t>
    <phoneticPr fontId="1" type="noConversion"/>
  </si>
  <si>
    <t>基于台州学院的新情况，针对中行、交行分别准备对应投资规模的预设清单。</t>
  </si>
  <si>
    <t>编制浙江大学衢州研究院智慧院区一码通平台项目汇报材料（word）</t>
  </si>
  <si>
    <t>支持青岛康复大学一卡通人脸识别集成方案修改</t>
  </si>
  <si>
    <t>基础教育业务部物联业务交流，开化一中教室物联需求配合</t>
  </si>
  <si>
    <t>2、湖北文理学院一卡通项目招标文件修订；（齐益军）</t>
    <phoneticPr fontId="1" type="noConversion"/>
  </si>
  <si>
    <t>3、启动河南师范大学智慧校园项目投标工作，并负责主标技术文件编制；（市场部）</t>
    <phoneticPr fontId="1" type="noConversion"/>
  </si>
  <si>
    <t>4、跟进河南省委项目招标进展情况；（胡启灏）</t>
    <phoneticPr fontId="1" type="noConversion"/>
  </si>
  <si>
    <t>高</t>
    <phoneticPr fontId="1" type="noConversion"/>
  </si>
  <si>
    <t>5、准备四川省中行K12智慧食堂项目招标报名材料；（胡启灏）</t>
    <phoneticPr fontId="1" type="noConversion"/>
  </si>
  <si>
    <t>6、海洋科学与技术国家实验室智慧园区项目；（李叔平）</t>
    <phoneticPr fontId="1" type="noConversion"/>
  </si>
  <si>
    <t>大数据</t>
    <phoneticPr fontId="1" type="noConversion"/>
  </si>
  <si>
    <t>7、长沙学院一卡通升级改造项目；（李叔平）</t>
    <phoneticPr fontId="1" type="noConversion"/>
  </si>
  <si>
    <t>8、中广核消费系统项目；（李叔平）</t>
    <phoneticPr fontId="1" type="noConversion"/>
  </si>
  <si>
    <t>9、浙江中医药统一出入项目；（李叔平）</t>
    <phoneticPr fontId="1" type="noConversion"/>
  </si>
  <si>
    <t>11、北京林业大学出差对接需求对齐，现场环境验证，会议室项目交付协调、到货协调；（张靖平）</t>
    <phoneticPr fontId="1" type="noConversion"/>
  </si>
  <si>
    <t>12、西安工程空调项目招标参数问题沟通；（张靖平）</t>
    <phoneticPr fontId="1" type="noConversion"/>
  </si>
  <si>
    <t>13、齐鲁工业大学思政和学工清单提供；（张靖平）</t>
    <phoneticPr fontId="1" type="noConversion"/>
  </si>
  <si>
    <t>14、重庆交通大学物联项目方案素材提供；（张靖平）</t>
    <phoneticPr fontId="1" type="noConversion"/>
  </si>
  <si>
    <t>15、长沙学院物联平台汇报，申报书修改；（张靖平）</t>
    <phoneticPr fontId="1" type="noConversion"/>
  </si>
  <si>
    <t>长沙学院物联平台汇报，申报书修改</t>
    <phoneticPr fontId="1" type="noConversion"/>
  </si>
  <si>
    <t>16、河南技师学院空调管理方案提供；（张靖平）</t>
    <phoneticPr fontId="1" type="noConversion"/>
  </si>
  <si>
    <t>17、山大威海校区思政清单提供；（张靖平）</t>
    <phoneticPr fontId="1" type="noConversion"/>
  </si>
  <si>
    <t>山大威海校区思政清单提供</t>
    <phoneticPr fontId="1" type="noConversion"/>
  </si>
  <si>
    <t>18、江汉大学思政清单提供；（张靖平）</t>
    <phoneticPr fontId="1" type="noConversion"/>
  </si>
  <si>
    <t>19、黑河、天元、杭医所等初期商机的评估与方案交流；（李靖翔）</t>
    <phoneticPr fontId="1" type="noConversion"/>
  </si>
  <si>
    <t>黑河、天元、杭医所等初期商机的评估与方案交流</t>
    <phoneticPr fontId="1" type="noConversion"/>
  </si>
  <si>
    <t>20、横店影视中标后验收策略，商务费用说明讨论；（李靖翔）</t>
    <phoneticPr fontId="1" type="noConversion"/>
  </si>
  <si>
    <t>河南师范大学智慧校园项目</t>
    <phoneticPr fontId="1" type="noConversion"/>
  </si>
  <si>
    <t>四川省中行K12智慧食堂项目</t>
    <phoneticPr fontId="1" type="noConversion"/>
  </si>
  <si>
    <t>四川省中行</t>
    <phoneticPr fontId="1" type="noConversion"/>
  </si>
  <si>
    <t>海洋科学与技术国家实验室智慧园区项目</t>
    <phoneticPr fontId="1" type="noConversion"/>
  </si>
  <si>
    <t>海洋科学与技术国家实验室</t>
    <phoneticPr fontId="1" type="noConversion"/>
  </si>
  <si>
    <t>中国广核集团有限公司</t>
    <phoneticPr fontId="1" type="noConversion"/>
  </si>
  <si>
    <t>浙江中医药统一出入项目</t>
    <phoneticPr fontId="1" type="noConversion"/>
  </si>
  <si>
    <t>齐鲁工业大学思政和学工</t>
    <phoneticPr fontId="1" type="noConversion"/>
  </si>
  <si>
    <t>齐鲁工业大学</t>
    <phoneticPr fontId="1" type="noConversion"/>
  </si>
  <si>
    <t>重庆交通大学物联项目</t>
    <phoneticPr fontId="1" type="noConversion"/>
  </si>
  <si>
    <t>重庆交通大学</t>
    <phoneticPr fontId="1" type="noConversion"/>
  </si>
  <si>
    <t>河南技师学院空调</t>
    <phoneticPr fontId="1" type="noConversion"/>
  </si>
  <si>
    <t>河南技师学院</t>
    <phoneticPr fontId="1" type="noConversion"/>
  </si>
  <si>
    <t>江汉大学思政</t>
    <phoneticPr fontId="1" type="noConversion"/>
  </si>
  <si>
    <t>江汉大学</t>
    <phoneticPr fontId="1" type="noConversion"/>
  </si>
  <si>
    <t>5、天津城建接待汇报；（张靖平）</t>
  </si>
  <si>
    <t>6、北交大威海校区ioc二期中标；（张靖平）</t>
  </si>
  <si>
    <t>1、上海财经投标所需环境协调（节后部署）以及所需软件截图，客户案例汇总；（邱春红）</t>
    <phoneticPr fontId="1" type="noConversion"/>
  </si>
  <si>
    <t>2、安徽工业职业空调物联项目方案支持；（张靖平）</t>
    <phoneticPr fontId="1" type="noConversion"/>
  </si>
  <si>
    <t>3、北林物联假期实施琐碎事情协调；（张靖平）</t>
    <phoneticPr fontId="1" type="noConversion"/>
  </si>
  <si>
    <t>新乡职业物联</t>
    <phoneticPr fontId="1" type="noConversion"/>
  </si>
  <si>
    <t>4、新乡职业物联清单；（张靖平）</t>
    <phoneticPr fontId="1" type="noConversion"/>
  </si>
  <si>
    <t>齐鲁工业大学思政和学工清单提供</t>
  </si>
  <si>
    <t>重庆交通大学物联项目方案素材提供</t>
  </si>
  <si>
    <t>河南技师学院空调管理方案提供</t>
  </si>
  <si>
    <t>7、河南师范大学智慧校园项目主标技术文件编写；（市场部）</t>
    <phoneticPr fontId="1" type="noConversion"/>
  </si>
  <si>
    <t>8、中广核一卡通升级项目支持、跟进；（李叔平）</t>
    <phoneticPr fontId="1" type="noConversion"/>
  </si>
  <si>
    <t>9、国网电力浙江省送变电智食堂项目、瑞安电力绿智食堂项目、浙江省电力绿智食堂项目；（潘燕忠）</t>
    <phoneticPr fontId="1" type="noConversion"/>
  </si>
  <si>
    <t>国网电力浙江省送变电智慧食堂项目</t>
    <phoneticPr fontId="1" type="noConversion"/>
  </si>
  <si>
    <t>10、梳理四川省中行K12食安监管项目投标资料，评估技术参数和评分办法，沟通四川销售对投标应答等事宜；（胡启灏）</t>
    <phoneticPr fontId="1" type="noConversion"/>
  </si>
  <si>
    <t>1、上海财经投标演示材料及演示环境协调，已完成，转现场；（邱春红）</t>
  </si>
  <si>
    <t>7、协助编制河南师范大学智慧校园项目投标文件中数据中心技术方案。（胡启灏）</t>
  </si>
  <si>
    <t>2、火箭军工工程大学智慧食堂建设项目（方文运）投标产品资料整理及演示视频素材梳理；（邱春红）</t>
    <phoneticPr fontId="1" type="noConversion"/>
  </si>
  <si>
    <t>新乡职业物联清单</t>
    <phoneticPr fontId="1" type="noConversion"/>
  </si>
  <si>
    <t>火箭军工工程大学智慧食堂建设项目</t>
    <phoneticPr fontId="1" type="noConversion"/>
  </si>
  <si>
    <t>中国人民解放军火箭军工程大学</t>
    <phoneticPr fontId="1" type="noConversion"/>
  </si>
  <si>
    <t>3、河南师范大学智慧校园项目；（市场部）</t>
    <phoneticPr fontId="1" type="noConversion"/>
  </si>
  <si>
    <t>4、应用技术职业学院银校合作智慧校园项目跟进、支持；（李叔平）</t>
    <phoneticPr fontId="1" type="noConversion"/>
  </si>
  <si>
    <t>项目支撑</t>
    <phoneticPr fontId="1" type="noConversion"/>
  </si>
  <si>
    <t>5、国网电力淳安县电力食堂、桐庐县电力食堂、浙江省电力绿智食堂、浙江省电科院绿智食堂四个项目支撑；（潘燕忠）</t>
    <phoneticPr fontId="1" type="noConversion"/>
  </si>
  <si>
    <t>桐庐县电力食堂</t>
    <phoneticPr fontId="1" type="noConversion"/>
  </si>
  <si>
    <t>6、协同产品部对四川中行校园餐饮云监管平台采购项目进行评估（结果：因技术参数相差过大，四川正元决定暂不参与）。（胡启灏）</t>
    <phoneticPr fontId="1" type="noConversion"/>
  </si>
  <si>
    <t>协同产品部对四川中行校园餐饮云监管平台采购项目进行评估（结果：因技术参数相差过大，四川正元决定暂不参与）</t>
    <phoneticPr fontId="1" type="noConversion"/>
  </si>
  <si>
    <t>8、西安石油大学预警项目PPT修改；（张靖平）</t>
    <phoneticPr fontId="1" type="noConversion"/>
  </si>
  <si>
    <t>9、北林本部校长会议室和雄安指挥部会议室实施基本完成，下周组织项目复盘；（张靖平）</t>
    <phoneticPr fontId="1" type="noConversion"/>
  </si>
  <si>
    <t>10、温州空调物联项目方案初版方案提供金军；（张靖平）</t>
    <phoneticPr fontId="1" type="noConversion"/>
  </si>
  <si>
    <t>11、河北师范大学后勤项目物联申报清单整理提供；（张靖平）</t>
    <phoneticPr fontId="1" type="noConversion"/>
  </si>
  <si>
    <t>温州空调物联项目</t>
    <phoneticPr fontId="1" type="noConversion"/>
  </si>
  <si>
    <t>温州空调物联</t>
    <phoneticPr fontId="1" type="noConversion"/>
  </si>
  <si>
    <t>河北师范大学后勤项目</t>
    <phoneticPr fontId="1" type="noConversion"/>
  </si>
  <si>
    <t>河北师范大学</t>
    <phoneticPr fontId="1" type="noConversion"/>
  </si>
  <si>
    <t>未知学校名称</t>
    <phoneticPr fontId="1" type="noConversion"/>
  </si>
  <si>
    <t>河南应用技术职业学院</t>
    <phoneticPr fontId="1" type="noConversion"/>
  </si>
  <si>
    <t>河南</t>
    <phoneticPr fontId="1" type="noConversion"/>
  </si>
  <si>
    <t>河南应用技术职业学院银校合作智慧校园项目</t>
    <phoneticPr fontId="1" type="noConversion"/>
  </si>
  <si>
    <t>9、金华市局、磐安、浦江、武义、永康5个项目推进；（潘燕忠）</t>
  </si>
  <si>
    <t>1、河南师范大学智慧校园项目投标文件编制；（齐益军）</t>
    <phoneticPr fontId="1" type="noConversion"/>
  </si>
  <si>
    <t>2、浙江万里学院校园大脑项目招标参数修订；（齐益军）</t>
    <phoneticPr fontId="1" type="noConversion"/>
  </si>
  <si>
    <t>项目支撑</t>
  </si>
  <si>
    <t>温州空调物联项目方案初版方案提供金军</t>
  </si>
  <si>
    <t>浙江万里学院校园大脑项目</t>
    <phoneticPr fontId="1" type="noConversion"/>
  </si>
  <si>
    <t>3、河北医科大学新校区智慧校园规划相关工作，主要是需求信息收集；（齐益军）</t>
    <phoneticPr fontId="1" type="noConversion"/>
  </si>
  <si>
    <t>4、江汉大学思政清单及招标参数支持；（张靖平）</t>
    <phoneticPr fontId="1" type="noConversion"/>
  </si>
  <si>
    <t>江汉大学思政清单及招标参数支持</t>
    <phoneticPr fontId="1" type="noConversion"/>
  </si>
  <si>
    <t>5、安徽工业职业空调物联方案支持；（张靖平）</t>
    <phoneticPr fontId="1" type="noConversion"/>
  </si>
  <si>
    <t>安徽工业职业空调物联方案支持</t>
    <phoneticPr fontId="1" type="noConversion"/>
  </si>
  <si>
    <t>6、河南应用技术职业学院银校合作项目；（李叔平）</t>
    <phoneticPr fontId="1" type="noConversion"/>
  </si>
  <si>
    <t>7、中广核一卡通项目；（李叔平）</t>
    <phoneticPr fontId="1" type="noConversion"/>
  </si>
  <si>
    <t>中广核一卡通项目</t>
    <phoneticPr fontId="1" type="noConversion"/>
  </si>
  <si>
    <t>8、杭州银行智慧食堂建设项目投标，编写投标资信文件、商务文件和技术文件三份文件，核心产品正元产品投标，智慧结算台相关产品采用新厂商正跃产品，食安采用坚果产品，10月30日投标；（郑小勇）</t>
    <phoneticPr fontId="1" type="noConversion"/>
  </si>
  <si>
    <t>河北医科大学新校区智慧校园</t>
    <phoneticPr fontId="1" type="noConversion"/>
  </si>
  <si>
    <t>河北医科大学</t>
    <phoneticPr fontId="1" type="noConversion"/>
  </si>
  <si>
    <t>杭州银行智慧食堂建设项目</t>
    <phoneticPr fontId="1" type="noConversion"/>
  </si>
  <si>
    <t>杭州银行</t>
    <phoneticPr fontId="1" type="noConversion"/>
  </si>
  <si>
    <t>10、支撑宁海电力绿智食堂项目；（潘燕忠）</t>
    <phoneticPr fontId="1" type="noConversion"/>
  </si>
  <si>
    <t>11、黑龙江某校，需确认，提供Mo人工智能教学实训平台解决方案、报价单等资料，等待下一步客户反馈；（潘燕忠）</t>
    <phoneticPr fontId="1" type="noConversion"/>
  </si>
  <si>
    <t>黑龙江某校人工智能教学</t>
    <phoneticPr fontId="1" type="noConversion"/>
  </si>
  <si>
    <t>黑龙江某校</t>
    <phoneticPr fontId="1" type="noConversion"/>
  </si>
  <si>
    <t>12、杭州医学所项目与总集联通沟通。公司主要是智慧后勤部分；（李靖翔）</t>
    <phoneticPr fontId="1" type="noConversion"/>
  </si>
  <si>
    <t>杭州医学院项目</t>
    <phoneticPr fontId="1" type="noConversion"/>
  </si>
  <si>
    <t>总包</t>
  </si>
  <si>
    <t>13、根据省中行反馈修改衢州教育局二期项目招标文件相关内容；（胡启灏）</t>
    <phoneticPr fontId="1" type="noConversion"/>
  </si>
  <si>
    <t>14、编制银河596智慧园区运营服务平台PPT方案；（胡启灏）</t>
    <phoneticPr fontId="1" type="noConversion"/>
  </si>
  <si>
    <t>银河596智慧园区</t>
    <phoneticPr fontId="1" type="noConversion"/>
  </si>
  <si>
    <t>15、浙江省寺庙项目，编制智慧寺院运营管理平台PPT方案；（胡启灏）</t>
    <phoneticPr fontId="1" type="noConversion"/>
  </si>
  <si>
    <t>浙江省寺庙</t>
    <phoneticPr fontId="1" type="noConversion"/>
  </si>
  <si>
    <t>16、上海财经演示环境协调及投标素材准备，基本完成（临时增加演示视频制作，下周一交付）；（邱春红）</t>
    <phoneticPr fontId="1" type="noConversion"/>
  </si>
  <si>
    <t>17、火箭军工程大学智慧食堂项目投标演示视频制作，已交付，下周一开标（方文运）；（邱春红）</t>
    <phoneticPr fontId="1" type="noConversion"/>
  </si>
  <si>
    <t>方文运</t>
    <phoneticPr fontId="1" type="noConversion"/>
  </si>
  <si>
    <t>1、上海财经投标演示视频制作（已完成，10.28投标）；（邱春红）</t>
    <phoneticPr fontId="1" type="noConversion"/>
  </si>
  <si>
    <t>2、上海财经投标演示视频制作；（邱春红）</t>
    <phoneticPr fontId="1" type="noConversion"/>
  </si>
  <si>
    <t>3、中财银行社区食堂数币软硬钱包演示；（邱春红）</t>
    <phoneticPr fontId="1" type="noConversion"/>
  </si>
  <si>
    <t>4、中国矿业大学出差物联交流，需要针对教室和室外球场照明管理提供针对性方案；（张靖平）</t>
    <phoneticPr fontId="1" type="noConversion"/>
  </si>
  <si>
    <t>5、北邮材料说明文档编写；（张靖平）</t>
    <phoneticPr fontId="1" type="noConversion"/>
  </si>
  <si>
    <t>6、中国石油大学克拉玛依校区思政方案提供；（张靖平）</t>
    <phoneticPr fontId="1" type="noConversion"/>
  </si>
  <si>
    <t>7、完成四川银河596智慧园区运营服务平台PPT方案；（胡启灏）</t>
    <phoneticPr fontId="1" type="noConversion"/>
  </si>
  <si>
    <t>8、优化智慧寺庙运营管理平台PPT方案；（胡启灏）</t>
    <phoneticPr fontId="1" type="noConversion"/>
  </si>
  <si>
    <t>9、完成衢州教育局二期项目招标文件核查工作；（胡启灏）</t>
    <phoneticPr fontId="1" type="noConversion"/>
  </si>
  <si>
    <t>10、山东师范大学一卡通升级项目支持；（李叔平）</t>
    <phoneticPr fontId="1" type="noConversion"/>
  </si>
  <si>
    <t>11、杭州银行智慧食堂建设项目投标文件编写，下周四（10月30日）投标，目前已完成大部分标书内容；（郑小勇）</t>
    <phoneticPr fontId="1" type="noConversion"/>
  </si>
  <si>
    <t>12、山东师范大学一卡通升级方案支持，山东师范大学数字校园十五五规划申报方案，下周投完标后开始编写；（郑小勇）</t>
    <phoneticPr fontId="1" type="noConversion"/>
  </si>
  <si>
    <t>13、贵州中医院大学融合服务平台系统设计方案和系统安全方案的支持；（郑小勇）</t>
    <phoneticPr fontId="1" type="noConversion"/>
  </si>
  <si>
    <t>14、河南省委机关事务管理局，与豫信电科的项目，暂称（河南省委-数智后勤）。正在走流程中推动招投标；（李靖翔）</t>
    <phoneticPr fontId="1" type="noConversion"/>
  </si>
  <si>
    <t>15、河南省委机关事务管理局，与银行项目，暂称（河南省委-银政合作）项目发生了一些变化需要持续跟进</t>
    <phoneticPr fontId="1" type="noConversion"/>
  </si>
  <si>
    <t>16、河南师范大学一卡通项目。已被彻底叫停，更换了信息中心主任，本周碰头后对方表示肯定要推翻之前的内容个，但新开普的设备已入场，下周计划越我方和其他一些相关方进行项目运作思路的讨论。同时建行出局，可能由中行进行接手。需要保持跟进。</t>
    <phoneticPr fontId="1" type="noConversion"/>
  </si>
  <si>
    <t>17、新乡学院。由于人事调整，还有银行投资合同的变化，预计之前的项目会进一步打包扩容到4500万。正式招投标估计要到明年。需要等待银行和校方的具体结论</t>
    <phoneticPr fontId="1" type="noConversion"/>
  </si>
  <si>
    <t>18、新职、河南物流。后续由商机存在，但由于目前主要卡在验收环节（新开普拒绝对接），导致信息中心主任可能受到影响，预计等这个阶段度过后，才能有后续商机推进</t>
    <phoneticPr fontId="1" type="noConversion"/>
  </si>
  <si>
    <t>19、国网电力浙江省电力物资分公司、瑞安电力绿智食堂、浙江电力物资公司、浙江省电力；</t>
    <phoneticPr fontId="1" type="noConversion"/>
  </si>
  <si>
    <t>20、浙江万里学院校园大脑项目，招标文件修订；</t>
    <phoneticPr fontId="1" type="noConversion"/>
  </si>
  <si>
    <t>21、河北医科大学新校区智慧校园项目沟通和资料整理</t>
    <phoneticPr fontId="1" type="noConversion"/>
  </si>
  <si>
    <t>中国石油大学克拉玛依校区思政</t>
    <phoneticPr fontId="1" type="noConversion"/>
  </si>
  <si>
    <t>完成四川银河596智慧园区运营服务平台PPT方案</t>
    <phoneticPr fontId="1" type="noConversion"/>
  </si>
  <si>
    <t>无项目</t>
    <phoneticPr fontId="1" type="noConversion"/>
  </si>
  <si>
    <t>优化智慧寺庙运营管理平台PPT方案</t>
    <phoneticPr fontId="1" type="noConversion"/>
  </si>
  <si>
    <t>银河596智慧园区项目运营服务平台</t>
    <phoneticPr fontId="1" type="noConversion"/>
  </si>
  <si>
    <t>浙江省寺庙智慧寺庙运营管理平台项目</t>
    <phoneticPr fontId="1" type="noConversion"/>
  </si>
  <si>
    <t>山东师范大学一卡通</t>
    <phoneticPr fontId="1" type="noConversion"/>
  </si>
  <si>
    <t>河南省委机关事务管理局</t>
    <phoneticPr fontId="1" type="noConversion"/>
  </si>
  <si>
    <t>河南省委-数智后勤</t>
    <phoneticPr fontId="1" type="noConversion"/>
  </si>
  <si>
    <t>新乡学院。由于人事调整，还有银行投资合同的变化，预计之前的项目会进一步打包扩容到4500万。正式招投标估计要到明年。需要等待银行和校方的具体结论</t>
    <phoneticPr fontId="1" type="noConversion"/>
  </si>
  <si>
    <t>后续由商机存在，但由于目前主要卡在验收环节（新开普拒绝对接），导致信息中心主任可能受到影响，预计等这个阶段度过后，才能有后续商机推进</t>
    <phoneticPr fontId="1" type="noConversion"/>
  </si>
  <si>
    <t>中国石油大学（北京）克拉玛依校区</t>
    <phoneticPr fontId="1" type="noConversion"/>
  </si>
  <si>
    <t>贵州中医院大学融合服务平台</t>
    <phoneticPr fontId="1" type="noConversion"/>
  </si>
  <si>
    <t>智慧教室</t>
  </si>
  <si>
    <t>全国</t>
    <phoneticPr fontId="1" type="noConversion"/>
  </si>
  <si>
    <t>6、国家电网绿智食堂，桐庐县电力食堂，浙江省电力食堂，台州电力食堂，浙江省电科院食堂项目支撑；（潘燕忠）</t>
  </si>
  <si>
    <t>1、完成温州市交运集团智慧通刷平台项目预算清单，已发送销售（胡众）；（胡启灏）</t>
    <phoneticPr fontId="1" type="noConversion"/>
  </si>
  <si>
    <t>温州市交运集团智慧通刷平台项目</t>
    <phoneticPr fontId="1" type="noConversion"/>
  </si>
  <si>
    <t>温州市交运集团</t>
    <phoneticPr fontId="1" type="noConversion"/>
  </si>
  <si>
    <t>中国石油大学克拉玛依校区思政方案提供</t>
  </si>
  <si>
    <t>贵州中医院大学融合服务平台系统设计方案和系统安全方案的支持</t>
  </si>
  <si>
    <t>2、对接山西省长治市平顺县教育局智慧数字驾驶舱项目需求，协同销售（王焕）、基础教育事业部和客户做线上沟通交流；（胡启灏）</t>
    <phoneticPr fontId="1" type="noConversion"/>
  </si>
  <si>
    <t>山西省长治市平顺县教育局</t>
    <phoneticPr fontId="1" type="noConversion"/>
  </si>
  <si>
    <t>胡众</t>
    <phoneticPr fontId="1" type="noConversion"/>
  </si>
  <si>
    <t>3、对接四川轻化工大学智慧食堂系统项目招投标事宜，协同四川正元刘晟、产品部等多方共同评估招标参数；（胡启灏）</t>
    <phoneticPr fontId="1" type="noConversion"/>
  </si>
  <si>
    <t>4、编写杭州银行智慧餐饮采购项目投标文件，周四下午现场投标，由于有其他投标商流标，甲方将再次招标。（郑小勇）</t>
    <phoneticPr fontId="1" type="noConversion"/>
  </si>
  <si>
    <t>5、山东师范大学数字化校园“十五五”规划申报方案；（郑小勇）</t>
    <phoneticPr fontId="1" type="noConversion"/>
  </si>
  <si>
    <t>山东师范大学数字化校园“十五五”规划</t>
    <phoneticPr fontId="1" type="noConversion"/>
  </si>
  <si>
    <t>项目支撑</t>
    <phoneticPr fontId="1" type="noConversion"/>
  </si>
  <si>
    <t>7、山东交通学院智慧公寓和烟台黄金职业学院智慧空开的ppt支撑；（朱嘉劼）</t>
    <phoneticPr fontId="1" type="noConversion"/>
  </si>
  <si>
    <t>山东交通学院智慧公寓</t>
    <phoneticPr fontId="1" type="noConversion"/>
  </si>
  <si>
    <t>8、瑞安市瑞祥高级中学招标参数沟通，设置控标点；（杜辉）</t>
    <phoneticPr fontId="1" type="noConversion"/>
  </si>
  <si>
    <t>9、内江师范学院一卡通升级项目；（李叔平）</t>
    <phoneticPr fontId="1" type="noConversion"/>
  </si>
  <si>
    <t>10、山东师范大学一卡通升级项目；（李叔平）</t>
    <phoneticPr fontId="1" type="noConversion"/>
  </si>
  <si>
    <t>11、山西农业大学银行合作智慧校园项目支持；（李叔平）</t>
    <phoneticPr fontId="1" type="noConversion"/>
  </si>
  <si>
    <t>12、浙江万里学院校园大脑项目招标文件修订；（齐益军）</t>
    <phoneticPr fontId="1" type="noConversion"/>
  </si>
  <si>
    <t>13、哈尔滨体育学院智慧校园2026年项目策划。确定数据类项目内容，并探讨数字孪生及捂脸应用类建设内容的可行性；（齐益军）</t>
    <phoneticPr fontId="1" type="noConversion"/>
  </si>
  <si>
    <t>哈尔滨体育学院智慧校园2026年项目策划。确定数据类项目内容，并探讨数字孪生及捂脸应用类建设内容的可行性</t>
    <phoneticPr fontId="1" type="noConversion"/>
  </si>
  <si>
    <t>14、河北医科大学新校区智慧校园、湖北黄冈应急职业技术学院智慧校园项目规划相关工作；（齐益军）</t>
    <phoneticPr fontId="1" type="noConversion"/>
  </si>
  <si>
    <t>15、湖北文理；杭州医学所联通、中国石油大(北京)交流与临时材料响应；（李靖翔）</t>
    <phoneticPr fontId="1" type="noConversion"/>
  </si>
  <si>
    <t>交流与临时材料响应</t>
    <phoneticPr fontId="1" type="noConversion"/>
  </si>
  <si>
    <t>16、河南林业汇报材料制作；（李靖翔）</t>
    <phoneticPr fontId="1" type="noConversion"/>
  </si>
  <si>
    <t>17、烟台黄金职业空开方案编写；（张靖平）</t>
    <phoneticPr fontId="1" type="noConversion"/>
  </si>
  <si>
    <t>18、山东交通学院电控，门锁，洗衣机，洗鞋机，烘干机，吹风机，洗浴，直饮水物联方案编写；（张靖平）</t>
    <phoneticPr fontId="1" type="noConversion"/>
  </si>
  <si>
    <t>19、浙江省现代教育技术展厅材料提供；（张靖平）</t>
    <phoneticPr fontId="1" type="noConversion"/>
  </si>
  <si>
    <t>20、江苏开放大学空调智能化清单提供；（张靖平）</t>
    <phoneticPr fontId="1" type="noConversion"/>
  </si>
  <si>
    <t>宁夏师范学院演示协调，基本完成（11.5演示）；（邱春红）</t>
    <phoneticPr fontId="1" type="noConversion"/>
  </si>
  <si>
    <t>宁夏师范学院演示协调，基本完成（11.5演示）</t>
    <phoneticPr fontId="1" type="noConversion"/>
  </si>
  <si>
    <t>山西省长治市平顺县教育局智慧数字驾驶舱项目</t>
    <phoneticPr fontId="1" type="noConversion"/>
  </si>
  <si>
    <t>四川轻化工大学智慧食堂系统项目</t>
    <phoneticPr fontId="1" type="noConversion"/>
  </si>
  <si>
    <t>四川轻化工大学</t>
    <phoneticPr fontId="1" type="noConversion"/>
  </si>
  <si>
    <t>烟台黄金职业学院智慧空开</t>
    <phoneticPr fontId="1" type="noConversion"/>
  </si>
  <si>
    <t>烟台黄金职业学院</t>
    <phoneticPr fontId="1" type="noConversion"/>
  </si>
  <si>
    <t>瑞安市瑞祥高级中学</t>
    <phoneticPr fontId="1" type="noConversion"/>
  </si>
  <si>
    <t>内江师范学院一卡通升级项目</t>
    <phoneticPr fontId="1" type="noConversion"/>
  </si>
  <si>
    <t>内江师范学院</t>
    <phoneticPr fontId="1" type="noConversion"/>
  </si>
  <si>
    <t>山西农业大学银行合作智慧校园项目</t>
    <phoneticPr fontId="1" type="noConversion"/>
  </si>
  <si>
    <t>山西农业大学</t>
    <phoneticPr fontId="1" type="noConversion"/>
  </si>
  <si>
    <t>湖北黄冈应急管理职业技术学院智慧校园项目</t>
    <phoneticPr fontId="1" type="noConversion"/>
  </si>
  <si>
    <t>湖北黄冈应急管理职业技术学院</t>
    <phoneticPr fontId="1" type="noConversion"/>
  </si>
  <si>
    <t>浙江省现代教育技术展厅</t>
    <phoneticPr fontId="1" type="noConversion"/>
  </si>
  <si>
    <t>江苏开放大学空调智能化</t>
    <phoneticPr fontId="1" type="noConversion"/>
  </si>
  <si>
    <t>WL2025093</t>
    <phoneticPr fontId="1" type="noConversion"/>
  </si>
  <si>
    <t>20、整理食安监管项目资料和对应区域政策文件，以及政策指标梳理材料，同步四川正元刘晟；（胡启灏）</t>
  </si>
  <si>
    <t>33、整理百事可乐省内近年想换合作项目情况清单，已完成；（邱春红）</t>
  </si>
  <si>
    <t>1、备杭州银行智慧餐饮采购项目二次投标的投标文件撰写，二次投标时间为：11月26日。（郑小勇）</t>
    <phoneticPr fontId="1" type="noConversion"/>
  </si>
  <si>
    <t>2、编写山东师范大学一卡通升级及十五五规划项目的申报方案，已经完稿并提交给了山东一线销售白国林；（郑小勇）</t>
    <phoneticPr fontId="1" type="noConversion"/>
  </si>
  <si>
    <t>编写山东师范大学一卡通升级及十五五规划项目的申报方案，已经完稿并提交给了山东一线销售白国林</t>
    <phoneticPr fontId="1" type="noConversion"/>
  </si>
  <si>
    <t>白国林</t>
    <phoneticPr fontId="1" type="noConversion"/>
  </si>
  <si>
    <t>3、准备下周的国防科技大学外国语学院 (昆山院区)来公司来访的融合平台宣讲PPT和国防科大三网的架构图等；（郑小勇）</t>
    <phoneticPr fontId="1" type="noConversion"/>
  </si>
  <si>
    <t>4、杭州师范学工AI+思政汇报材料提供及项目交流；（张靖平）</t>
    <phoneticPr fontId="1" type="noConversion"/>
  </si>
  <si>
    <t>杭州师范大学AI+思政</t>
    <phoneticPr fontId="1" type="noConversion"/>
  </si>
  <si>
    <t>5、西安工程大学能耗+空调项目招标文件对标；（张靖平）</t>
    <phoneticPr fontId="1" type="noConversion"/>
  </si>
  <si>
    <t>6、西安石油大学闸机+预警招标需求（海康参数）修订批注；（张靖平）</t>
    <phoneticPr fontId="1" type="noConversion"/>
  </si>
  <si>
    <t>西安石油大学闸机+预警招标需求（海康参数）修订批注</t>
    <phoneticPr fontId="1" type="noConversion"/>
  </si>
  <si>
    <t>7、江苏开放大学空调物联清单提供；（张靖平）</t>
    <phoneticPr fontId="1" type="noConversion"/>
  </si>
  <si>
    <t>江苏开放大学空调物联清单提供</t>
    <phoneticPr fontId="1" type="noConversion"/>
  </si>
  <si>
    <t>国防科技大学外国语学院 (昆山院区)融合平台</t>
    <phoneticPr fontId="1" type="noConversion"/>
  </si>
  <si>
    <t>国防科技大学外国语学院 (昆山院区)</t>
    <phoneticPr fontId="1" type="noConversion"/>
  </si>
  <si>
    <t>8、中国矿业大学（徐州）教室和体育场照明管理方案ppt提供；（张靖平）</t>
    <phoneticPr fontId="1" type="noConversion"/>
  </si>
  <si>
    <t>中国矿业大学（徐州）教室和体育场照明管理方案ppt提供</t>
    <phoneticPr fontId="1" type="noConversion"/>
  </si>
  <si>
    <t>中国矿业大学（徐州）</t>
    <phoneticPr fontId="1" type="noConversion"/>
  </si>
  <si>
    <t>中国矿业大学（徐州）教室和体育场照明</t>
    <phoneticPr fontId="1" type="noConversion"/>
  </si>
  <si>
    <t>9、济南职业物联远程交流；（张靖平）</t>
    <phoneticPr fontId="1" type="noConversion"/>
  </si>
  <si>
    <t>10、烟台双语实验高中教室物联管控清单支持；（张靖平）</t>
    <phoneticPr fontId="1" type="noConversion"/>
  </si>
  <si>
    <t>烟台双语实验高中</t>
    <phoneticPr fontId="1" type="noConversion"/>
  </si>
  <si>
    <t>烟台双语实验高中教室物联管控</t>
    <phoneticPr fontId="1" type="noConversion"/>
  </si>
  <si>
    <t>11、金华职业大学物联出差交流；（张靖平）</t>
    <phoneticPr fontId="1" type="noConversion"/>
  </si>
  <si>
    <t>金华职业大学物联</t>
    <phoneticPr fontId="1" type="noConversion"/>
  </si>
  <si>
    <t>金华职业大学</t>
    <phoneticPr fontId="1" type="noConversion"/>
  </si>
  <si>
    <t>12、北师大AI+思政交流汇报；（张靖平）</t>
    <phoneticPr fontId="1" type="noConversion"/>
  </si>
  <si>
    <t>13、山东外事物联试点问题协调；（张靖平）</t>
    <phoneticPr fontId="1" type="noConversion"/>
  </si>
  <si>
    <t>14、河南林业专家答辩准备，包括PPT、专家问题、古格尔的成果等；（李靖翔）</t>
    <phoneticPr fontId="1" type="noConversion"/>
  </si>
  <si>
    <t>15、北交大威海校区数改调研对接。明确了具体工作和成本评估，后续根据决策安排进场；（李靖翔）</t>
    <phoneticPr fontId="1" type="noConversion"/>
  </si>
  <si>
    <t>北交大威海校区数改</t>
    <phoneticPr fontId="1" type="noConversion"/>
  </si>
  <si>
    <t>16、中石油最新银行材料编制与反馈；（李靖翔）</t>
    <phoneticPr fontId="1" type="noConversion"/>
  </si>
  <si>
    <t>17、台州学院中行投资对接；（李靖翔）</t>
    <phoneticPr fontId="1" type="noConversion"/>
  </si>
  <si>
    <t>富士康园区</t>
    <phoneticPr fontId="1" type="noConversion"/>
  </si>
  <si>
    <t>19、完成四川富士康园区餐饮一体化平台项目配置单；（胡启灏）</t>
    <phoneticPr fontId="1" type="noConversion"/>
  </si>
  <si>
    <t>富士康园区餐饮一体化平台项目</t>
    <phoneticPr fontId="1" type="noConversion"/>
  </si>
  <si>
    <t>无具体项目</t>
    <phoneticPr fontId="1" type="noConversion"/>
  </si>
  <si>
    <t>21、完成青海理工学院十五五规划word文件和PPT汇报文件；（胡启灏）</t>
    <phoneticPr fontId="1" type="noConversion"/>
  </si>
  <si>
    <t>22、协助四川正元的四川轻化工大学投标事宜，评审参数、整理资料等；（胡启灏）</t>
    <phoneticPr fontId="1" type="noConversion"/>
  </si>
  <si>
    <t>协助四川正元的四川轻化工大学投标事宜，评审参数、整理资料等</t>
    <phoneticPr fontId="1" type="noConversion"/>
  </si>
  <si>
    <t>23、台州中心医院开标上传工作；（施政）</t>
    <phoneticPr fontId="1" type="noConversion"/>
  </si>
  <si>
    <t>24、台州学院（金融属性清单）；（李叔平）</t>
    <phoneticPr fontId="1" type="noConversion"/>
  </si>
  <si>
    <t>25、电子科技大学一卡通升级（上会专项申请）；（李叔平）</t>
    <phoneticPr fontId="1" type="noConversion"/>
  </si>
  <si>
    <t>电子科技大学一卡通升级（上会专项申请）</t>
    <phoneticPr fontId="1" type="noConversion"/>
  </si>
  <si>
    <t>26、河南师范大学智慧校园项目；（李叔平）</t>
    <phoneticPr fontId="1" type="noConversion"/>
  </si>
  <si>
    <t>27、山东师范大学业财一体及综合缴费项目支持；（李叔平）</t>
    <phoneticPr fontId="1" type="noConversion"/>
  </si>
  <si>
    <t>28、河北医科大学新校区智慧校园：物流应用和IOC策划；（齐益军）</t>
    <phoneticPr fontId="1" type="noConversion"/>
  </si>
  <si>
    <t>河北医科大学新校区智慧校园：物流应用和IOC策划</t>
    <phoneticPr fontId="1" type="noConversion"/>
  </si>
  <si>
    <t>29、山西医科大学智慧校园一五五规划素材提供；（齐益军）</t>
    <phoneticPr fontId="1" type="noConversion"/>
  </si>
  <si>
    <t>30、北交大威海校区智慧校园规划素材整理；（齐益军）</t>
    <phoneticPr fontId="1" type="noConversion"/>
  </si>
  <si>
    <t>31、厦大马来校区新增公寓门禁门锁功能，配合整理相关方案，发厦大老师；（邱春红）</t>
    <phoneticPr fontId="1" type="noConversion"/>
  </si>
  <si>
    <t>32、火箭军工程大学落地相关产品资料配合研发整理，已完成；（邱春红）</t>
    <phoneticPr fontId="1" type="noConversion"/>
  </si>
  <si>
    <t>完成温州市交运集团智慧通刷平台项目预算清单，已发送销售（胡众）</t>
  </si>
  <si>
    <t>对接山西省长治市平顺县教育局智慧数字驾驶舱项目需求，协同销售（王焕）、基础教育事业部和客户做线上沟通交流</t>
  </si>
  <si>
    <t>电控，门锁，洗衣机，洗鞋机，烘干机，吹风机，洗浴，直饮水物联方案编写</t>
  </si>
  <si>
    <t>瑞安市瑞祥高级中学招标参数沟通，设置控标点</t>
  </si>
  <si>
    <t>内江师范学院一卡通升级项目</t>
  </si>
  <si>
    <t>山西农业大学银行合作智慧校园项目支持</t>
  </si>
  <si>
    <t>项目规划相关工作</t>
  </si>
  <si>
    <t>浙江省现代教育技术展厅材料提供</t>
  </si>
  <si>
    <t>北交大威海校区智慧校园</t>
    <phoneticPr fontId="1" type="noConversion"/>
  </si>
  <si>
    <t>台州市中心医院(台州学院附属医院)智慧医院金融科技社会化平台建设投入项目</t>
    <phoneticPr fontId="1" type="noConversion"/>
  </si>
  <si>
    <t>台州市中心医院</t>
    <phoneticPr fontId="1" type="noConversion"/>
  </si>
  <si>
    <t>18、国网电力温州泰顺电力食堂、浙江省电力物资分公司绿智食堂、台州三门电力食堂、浙江省电力绿智食堂、《福建国网电力食堂建设方案2025》PPT；（潘燕忠）</t>
    <phoneticPr fontId="1" type="noConversion"/>
  </si>
  <si>
    <t>国网电力温州泰顺电力食堂</t>
    <phoneticPr fontId="1" type="noConversion"/>
  </si>
  <si>
    <t>12、 长沙展会设备准备；（张靖平）</t>
  </si>
  <si>
    <t>16、 国网电力绿智食堂，乐清电力食堂、泰顺电力食堂、奉化电力食堂、浙江省电力食堂；</t>
  </si>
  <si>
    <t>1、 河北机电职业技术学院一卡通项目投标演示视频素材准备（暂未发标，校方要求提前提供演示视频，下周完成视频制作）；（邱春红）</t>
    <phoneticPr fontId="1" type="noConversion"/>
  </si>
  <si>
    <t>2、 辽宁工业大学项目线上交流协助（身份核验平台&amp;统一出入平台）；（杜辉）</t>
    <phoneticPr fontId="1" type="noConversion"/>
  </si>
  <si>
    <t>烟台双语实验高中教室物联管控清单支持</t>
  </si>
  <si>
    <t>金华职业大学物联出差交流</t>
  </si>
  <si>
    <t>北交大威海校区智慧校园规划素材整理</t>
  </si>
  <si>
    <t>完成四川富士康园区餐饮一体化平台项目配置单</t>
  </si>
  <si>
    <t xml:space="preserve"> 辽宁工业大学身份核验平台&amp;统一出入平台</t>
    <phoneticPr fontId="1" type="noConversion"/>
  </si>
  <si>
    <t>辽宁工业大学</t>
    <phoneticPr fontId="1" type="noConversion"/>
  </si>
  <si>
    <t>3、 国防科技大学外国语学院昆山校区来公司参观考察，宣讲融合服务解决方案，和用户沟通学校一卡通新建项目的具体需求；（郑小勇）</t>
    <phoneticPr fontId="1" type="noConversion"/>
  </si>
  <si>
    <t>国防科技大学外国语学院昆山校区来公司参观考察，宣讲融合服务解决方案，和用户沟通学校一卡通新建项目的具体需求</t>
    <phoneticPr fontId="1" type="noConversion"/>
  </si>
  <si>
    <t>4、 杭州银行智慧餐饮采购项目第二次投标准备，修改投标技术文件，下周主要工作也是此项目投标准备；（郑小勇）</t>
    <phoneticPr fontId="1" type="noConversion"/>
  </si>
  <si>
    <t>5、 佳木斯大学智慧校园项目招标文件和参数修改工作；（郑小勇）</t>
    <phoneticPr fontId="1" type="noConversion"/>
  </si>
  <si>
    <t>佳木斯大学</t>
    <phoneticPr fontId="1" type="noConversion"/>
  </si>
  <si>
    <t>佳木斯大学智慧校园项目</t>
    <phoneticPr fontId="1" type="noConversion"/>
  </si>
  <si>
    <t>6、 北京林业大学一卡通项目；（李叔平）</t>
    <phoneticPr fontId="1" type="noConversion"/>
  </si>
  <si>
    <t>7、 中国石油大学一卡通项目；（李叔平）</t>
    <phoneticPr fontId="1" type="noConversion"/>
  </si>
  <si>
    <t>8、 台州学院银校合作项目支持；（李叔平）</t>
    <phoneticPr fontId="1" type="noConversion"/>
  </si>
  <si>
    <t>9、 西安工程大学物联项目标书，中标；（张靖平）</t>
    <phoneticPr fontId="1" type="noConversion"/>
  </si>
  <si>
    <t>10、 南京信息工程学工方案支持；（张靖平）</t>
    <phoneticPr fontId="1" type="noConversion"/>
  </si>
  <si>
    <t>南京信息工程大学</t>
    <phoneticPr fontId="1" type="noConversion"/>
  </si>
  <si>
    <t>南京</t>
  </si>
  <si>
    <t>子公司</t>
  </si>
  <si>
    <t>南京信息工程大学学工项目</t>
    <phoneticPr fontId="1" type="noConversion"/>
  </si>
  <si>
    <t>11、 学军中学径山校区物联交流；（张靖平）</t>
    <phoneticPr fontId="1" type="noConversion"/>
  </si>
  <si>
    <t>K12</t>
    <phoneticPr fontId="1" type="noConversion"/>
  </si>
  <si>
    <t>浙江省杭州学军中学径山校区</t>
    <phoneticPr fontId="1" type="noConversion"/>
  </si>
  <si>
    <t>学军中学径山校区物联项目</t>
    <phoneticPr fontId="1" type="noConversion"/>
  </si>
  <si>
    <t>杭州</t>
    <phoneticPr fontId="1" type="noConversion"/>
  </si>
  <si>
    <t>省内</t>
    <phoneticPr fontId="1" type="noConversion"/>
  </si>
  <si>
    <t>13、 长沙师范大学物联交流；（张靖平）</t>
    <phoneticPr fontId="1" type="noConversion"/>
  </si>
  <si>
    <t>长沙师范大学</t>
    <phoneticPr fontId="1" type="noConversion"/>
  </si>
  <si>
    <t>湖南</t>
    <phoneticPr fontId="1" type="noConversion"/>
  </si>
  <si>
    <t>省外</t>
    <phoneticPr fontId="1" type="noConversion"/>
  </si>
  <si>
    <t>长沙师范大学物联</t>
    <phoneticPr fontId="1" type="noConversion"/>
  </si>
  <si>
    <t>14、 济南职业物联远程交流；（张靖平）</t>
    <phoneticPr fontId="1" type="noConversion"/>
  </si>
  <si>
    <t>15、 北师大学工方案提供；（张靖平）</t>
    <phoneticPr fontId="1" type="noConversion"/>
  </si>
  <si>
    <t>北师大学工方案提供</t>
    <phoneticPr fontId="1" type="noConversion"/>
  </si>
  <si>
    <t>项目跟进</t>
    <phoneticPr fontId="1" type="noConversion"/>
  </si>
  <si>
    <t>17、 台州学院中行投资清单输出；（李靖翔）</t>
    <phoneticPr fontId="1" type="noConversion"/>
  </si>
  <si>
    <t>18、 河南林业专家应答、其他商机支撑、智慧校园建设方案审核并进行修订；（李靖翔、齐益军）</t>
    <phoneticPr fontId="1" type="noConversion"/>
  </si>
  <si>
    <t>河南林业专家应答、其他商机支撑、智慧校园建设方案审核并进行修订</t>
    <phoneticPr fontId="1" type="noConversion"/>
  </si>
  <si>
    <t>19、 哈尔滨商业大学智慧校园建设方案编制，依据：《哈尔滨商业大学数智校园建设十五五规划方案》，项目预算550万，内容包括数据中台、融合门户（含一站式）、师生数据治理、驾驶舱、物联网应用、校园IOC等；（齐益军）</t>
    <phoneticPr fontId="1" type="noConversion"/>
  </si>
  <si>
    <t>哈尔滨商业大学</t>
    <phoneticPr fontId="1" type="noConversion"/>
  </si>
  <si>
    <t>哈尔滨商业大学智慧校园</t>
    <phoneticPr fontId="1" type="noConversion"/>
  </si>
  <si>
    <t>齐益军</t>
    <phoneticPr fontId="1" type="noConversion"/>
  </si>
  <si>
    <t>20、 黑龙江交通职业技术学院校园一卡通升级项目项目申报书修订；（齐益军）</t>
    <phoneticPr fontId="1" type="noConversion"/>
  </si>
  <si>
    <t>黑龙江交通职业技术学院</t>
    <phoneticPr fontId="1" type="noConversion"/>
  </si>
  <si>
    <t>黑龙江交通职业技术学院校园一卡通升级项目</t>
    <phoneticPr fontId="1" type="noConversion"/>
  </si>
  <si>
    <t>21、 衢州教育局询价清单输出；（李靖翔）</t>
    <phoneticPr fontId="1" type="noConversion"/>
  </si>
  <si>
    <t>22、 北交大威海数改调研大纲输出；（李靖翔）</t>
    <phoneticPr fontId="1" type="noConversion"/>
  </si>
  <si>
    <t>23、 完成青海理工学院“十五五”信息化建设规划论证会，并根据专家评审意见完成初稿修改；（胡启灏）</t>
    <phoneticPr fontId="1" type="noConversion"/>
  </si>
  <si>
    <t>24、 完成衢州教育局二期项目比价询价清单，已同步销售并发给银行；（胡启灏）</t>
    <phoneticPr fontId="1" type="noConversion"/>
  </si>
  <si>
    <t>25、 完成黑龙江省鸡西市中小学智慧校园项目配置单、word方案，建设内容包括食安监管、智慧体育、智慧教学；（胡启灏）</t>
    <phoneticPr fontId="1" type="noConversion"/>
  </si>
  <si>
    <t>黑龙江省鸡西市中小学</t>
    <phoneticPr fontId="1" type="noConversion"/>
  </si>
  <si>
    <t>黑龙江省鸡西市中小学智慧校园</t>
    <phoneticPr fontId="1" type="noConversion"/>
  </si>
  <si>
    <t>26、 湖南省委项目协调推进；（胡启灏）</t>
    <phoneticPr fontId="1" type="noConversion"/>
  </si>
  <si>
    <t>湖南省委项目</t>
    <phoneticPr fontId="1" type="noConversion"/>
  </si>
  <si>
    <t>中国共产党湖南省委员会</t>
    <phoneticPr fontId="1" type="noConversion"/>
  </si>
  <si>
    <t>1、海南软件职业技术学院招标文件参数核对满足度（一卡通系统升级，新开普控标参数、客观分已相差20多分，客户基本要丢了）；（杜辉）</t>
    <phoneticPr fontId="1" type="noConversion"/>
  </si>
  <si>
    <t>海南软件职业技术学院</t>
    <phoneticPr fontId="1" type="noConversion"/>
  </si>
  <si>
    <t>辽宁工业大学项目线上交流协助（身份核验平台&amp;统一出入平台）</t>
  </si>
  <si>
    <t>南京信息工程学工方案支持</t>
  </si>
  <si>
    <t>长沙师范大学物联交流</t>
  </si>
  <si>
    <t>黑龙江交通职业技术学院校园一卡通升级项目项目申报书修订</t>
  </si>
  <si>
    <t>湖南省委项目协调推进</t>
  </si>
  <si>
    <t>2025年</t>
  </si>
  <si>
    <t>海南软件职业技术学院一卡通系统升级</t>
    <phoneticPr fontId="1" type="noConversion"/>
  </si>
  <si>
    <t>2、天津师范大学控标点沟通设置（政采项目，对控标点管控很严格）；（杜辉）</t>
    <phoneticPr fontId="1" type="noConversion"/>
  </si>
  <si>
    <t>天津师范大学</t>
    <phoneticPr fontId="1" type="noConversion"/>
  </si>
  <si>
    <t>天津师范大学政采项目</t>
    <phoneticPr fontId="1" type="noConversion"/>
  </si>
  <si>
    <t>3、拜访福建省电力主任许潇和副主任陈喜阳并会议室绿智食堂专项汇报交流，为后续福建电力项目做好准备；（潘燕忠）</t>
    <phoneticPr fontId="1" type="noConversion"/>
  </si>
  <si>
    <t>4、下沙科技园，目前该华云下沙科技园已经进入到消防验收阶段，验收通过后计划采购设备，本周更新设备清单后联系吴敏跟进该项目；（潘燕忠）</t>
    <phoneticPr fontId="1" type="noConversion"/>
  </si>
  <si>
    <t>5、华云水澄大厦，根据绿智食堂标准对现场进行评估，为明年绿智食堂规划最好项目资金预算申报工作；</t>
    <phoneticPr fontId="1" type="noConversion"/>
  </si>
  <si>
    <t>华云水澄大厦</t>
    <phoneticPr fontId="1" type="noConversion"/>
  </si>
  <si>
    <t>6、继续跟进浙江省电力绿智食堂项目；（潘燕忠）</t>
    <phoneticPr fontId="1" type="noConversion"/>
  </si>
  <si>
    <t>7、支撑温州泰顺电力食堂项目；（潘燕忠）</t>
    <phoneticPr fontId="1" type="noConversion"/>
  </si>
  <si>
    <t>8、输出南平林业规划清单；（李靖翔）</t>
    <phoneticPr fontId="1" type="noConversion"/>
  </si>
  <si>
    <t>南平林业</t>
    <phoneticPr fontId="1" type="noConversion"/>
  </si>
  <si>
    <t>福建林业职业技术学院</t>
    <phoneticPr fontId="1" type="noConversion"/>
  </si>
  <si>
    <t>9、同北交大威海校区数改工作，进行线上调研预演并输出调研报告；（李靖翔）</t>
    <phoneticPr fontId="1" type="noConversion"/>
  </si>
  <si>
    <t>10、协助育英职业调整汇报PPT；（李靖翔）</t>
    <phoneticPr fontId="1" type="noConversion"/>
  </si>
  <si>
    <t>11、中科院杭医所物联投标评估（放弃）；（李靖翔）</t>
    <phoneticPr fontId="1" type="noConversion"/>
  </si>
  <si>
    <t>12、完成河南省委项目对应建行的建设清单初稿；（胡启灏）</t>
    <phoneticPr fontId="1" type="noConversion"/>
  </si>
  <si>
    <t>13、完成黑龙江省鸡西市中小学智慧校园项目配置单、建设方案，并已同步销售递交客户；（胡启灏）</t>
    <phoneticPr fontId="1" type="noConversion"/>
  </si>
  <si>
    <t>14、协同运营事业部黄江对河南工学院进行实地调研，摸排食堂、公寓等后勤建设现状，协助输出相关材料；（胡启灏）</t>
    <phoneticPr fontId="1" type="noConversion"/>
  </si>
  <si>
    <t>河南工学院</t>
    <phoneticPr fontId="1" type="noConversion"/>
  </si>
  <si>
    <t>河南工学院智慧公寓</t>
    <phoneticPr fontId="1" type="noConversion"/>
  </si>
  <si>
    <t>15、完成青海理工学院十五五信息化建设规划的材料修改工作， 并同步给郎永鹏跟进学校老师的后续修改；（胡启灏）</t>
    <phoneticPr fontId="1" type="noConversion"/>
  </si>
  <si>
    <t>完成青海理工学院十五五信息化建设规划的材料修改工作， 并同步给郎永鹏跟进学校老师的后续修改</t>
    <phoneticPr fontId="1" type="noConversion"/>
  </si>
  <si>
    <t>16、协同运营事业部等人对接河南省农行，沟通河南省委项目银行投资相关事宜；（胡启灏）</t>
    <phoneticPr fontId="1" type="noConversion"/>
  </si>
  <si>
    <t>17、协助运营事业部黄江输出太原师范学院建设清单，包括建设参数、报价预算内容；（胡启灏）</t>
    <phoneticPr fontId="1" type="noConversion"/>
  </si>
  <si>
    <t>协助运营事业部黄江输出太原师范学院建设清单，包括建设参数、报价预算内容</t>
    <phoneticPr fontId="1" type="noConversion"/>
  </si>
  <si>
    <t>18、河南省机关事务管理局智慧院区项目；（李叔平）</t>
    <phoneticPr fontId="1" type="noConversion"/>
  </si>
  <si>
    <t>河南省机关事务管理局智慧院区</t>
    <phoneticPr fontId="1" type="noConversion"/>
  </si>
  <si>
    <t>19、中国电信中部（郑州航空港）数据中心A2楼机电工程施工服务项目；（李叔平）</t>
    <phoneticPr fontId="1" type="noConversion"/>
  </si>
  <si>
    <t>中国电信中部（郑州航空港）</t>
    <phoneticPr fontId="1" type="noConversion"/>
  </si>
  <si>
    <t>中国电信中部（郑州航空港）数据中心A2楼机电工程施工服务项目</t>
    <phoneticPr fontId="1" type="noConversion"/>
  </si>
  <si>
    <t>20、山东师范大学一卡通升级项目；（李叔平）</t>
    <phoneticPr fontId="1" type="noConversion"/>
  </si>
  <si>
    <t>山东师范大学一卡通升级项目</t>
    <phoneticPr fontId="1" type="noConversion"/>
  </si>
  <si>
    <t>21、中国科学院基础医学与肿瘤研究所（筹）科研管理及园区智慧化集成系统采购项目；（李叔平）</t>
    <phoneticPr fontId="1" type="noConversion"/>
  </si>
  <si>
    <t>中国科学院基础医学与肿瘤研究所（筹）</t>
    <phoneticPr fontId="1" type="noConversion"/>
  </si>
  <si>
    <t>中国科学院基础医学与肿瘤研究所（筹）科研管理及园区智慧化集成系统采购项目</t>
    <phoneticPr fontId="1" type="noConversion"/>
  </si>
  <si>
    <t>22、湖南省机关事务管理局智慧院区项目；（李叔平）</t>
    <phoneticPr fontId="1" type="noConversion"/>
  </si>
  <si>
    <t>湖南省机关事务管理局智慧院区项目</t>
    <phoneticPr fontId="1" type="noConversion"/>
  </si>
  <si>
    <t>23、一重集团大连核电石化有限公司智慧园区项目；（李叔平）</t>
    <phoneticPr fontId="1" type="noConversion"/>
  </si>
  <si>
    <t>一重集团大连核电石化有限公司</t>
    <phoneticPr fontId="1" type="noConversion"/>
  </si>
  <si>
    <t>一重集团大连核电石化有限公司智慧园区项目</t>
    <phoneticPr fontId="1" type="noConversion"/>
  </si>
  <si>
    <t>24、台州学院中行项目支持；（李叔平）</t>
    <phoneticPr fontId="1" type="noConversion"/>
  </si>
  <si>
    <t>台州学院中行项目支持</t>
    <phoneticPr fontId="1" type="noConversion"/>
  </si>
  <si>
    <t>25、完成哈尔滨商业大学十五五一期智慧校园建设方案编制；（齐益军）</t>
    <phoneticPr fontId="1" type="noConversion"/>
  </si>
  <si>
    <t>完成哈尔滨商业大学十五五一期智慧校园建设方案编制</t>
    <phoneticPr fontId="1" type="noConversion"/>
  </si>
  <si>
    <t>26、河北地质大学新校区智慧校园全校支付中心项目申报材料编制，此为后补材料，之前未有要求，总预算965万，还包括新校区一期校门通道、水控等内容；（齐益军）</t>
    <phoneticPr fontId="1" type="noConversion"/>
  </si>
  <si>
    <t>27、杭州银行智慧餐饮采购项目二次投标，整理和修改二次投标文件，下周11月26日投标；（郑小勇）</t>
    <phoneticPr fontId="1" type="noConversion"/>
  </si>
  <si>
    <t>28、支持湖北长江委一卡通升级改造项目，支持长江委一卡通信创改造方案；（郑小勇）</t>
    <phoneticPr fontId="1" type="noConversion"/>
  </si>
  <si>
    <t>湖北长江委</t>
    <phoneticPr fontId="1" type="noConversion"/>
  </si>
  <si>
    <t>湖北长江委一卡通信创</t>
    <phoneticPr fontId="1" type="noConversion"/>
  </si>
  <si>
    <t>29、支持浙江省公务餐跨区支付云平台信创改造项目，修改和审核项目信创升级改造方案；（郑小勇）</t>
    <phoneticPr fontId="1" type="noConversion"/>
  </si>
  <si>
    <t>浙江省公务餐</t>
    <phoneticPr fontId="1" type="noConversion"/>
  </si>
  <si>
    <t>浙江省公务餐跨区支付云平台信创改造项目</t>
    <phoneticPr fontId="1" type="noConversion"/>
  </si>
  <si>
    <t>30、中国石油大学思政二期汇报ppt编写，出差汇报，二期预算180；（张靖平）</t>
    <phoneticPr fontId="1" type="noConversion"/>
  </si>
  <si>
    <t>中国石油大学思政二期</t>
    <phoneticPr fontId="1" type="noConversion"/>
  </si>
  <si>
    <t>31、学军中学径山校区物联项目申报支持；（张靖平）</t>
    <phoneticPr fontId="1" type="noConversion"/>
  </si>
  <si>
    <t>32、浙大物联网运维项目协调支持；（张靖平）</t>
    <phoneticPr fontId="1" type="noConversion"/>
  </si>
  <si>
    <t>33、北林会议室物联中控项目预约对接协调，问题协调；（张靖平）</t>
    <phoneticPr fontId="1" type="noConversion"/>
  </si>
  <si>
    <t>34、天津传媒学院物联清单；（张靖平）</t>
    <phoneticPr fontId="1" type="noConversion"/>
  </si>
  <si>
    <t>天津传媒学院</t>
    <phoneticPr fontId="1" type="noConversion"/>
  </si>
  <si>
    <t>天津传媒学院物联</t>
    <phoneticPr fontId="1" type="noConversion"/>
  </si>
  <si>
    <t>1、河南省机关事务管理局项目；（李叔平）</t>
  </si>
  <si>
    <t>10、国网电力丽水青田电力食堂、浙江省电力物资分公司、电科院绿智食堂项目、浙江省电力绿智食堂项目、浙江省电力绿智食堂项目；（潘燕忠）</t>
  </si>
  <si>
    <t>24、协助西北王雪银校合作事宜；（李靖翔）</t>
  </si>
  <si>
    <t>2、中国传媒大学一卡通项目；（李叔平）</t>
    <phoneticPr fontId="1" type="noConversion"/>
  </si>
  <si>
    <t>3、福建省烟草公司福州分公司一卡通项目；（李叔平）</t>
    <phoneticPr fontId="1" type="noConversion"/>
  </si>
  <si>
    <t>中国传媒大学一卡通项目</t>
    <phoneticPr fontId="1" type="noConversion"/>
  </si>
  <si>
    <t>中国传媒大学</t>
    <phoneticPr fontId="1" type="noConversion"/>
  </si>
  <si>
    <t>福建省烟草公司福州分公司一卡通项目</t>
    <phoneticPr fontId="1" type="noConversion"/>
  </si>
  <si>
    <t>福建省烟草公司</t>
    <phoneticPr fontId="1" type="noConversion"/>
  </si>
  <si>
    <t>中国电信中部（郑州航空港）数据中心A2楼机电工程施工服务项目</t>
  </si>
  <si>
    <t>中国科学院基础医学与肿瘤研究所（筹）科研管理及园区智慧化集成系统采购项目</t>
  </si>
  <si>
    <t>一重集团大连核电石化有限公司智慧园区项目</t>
  </si>
  <si>
    <t>支持湖北长江委一卡通升级改造项目，支持长江委一卡通信创改造方案</t>
  </si>
  <si>
    <t>中国石油大学思政二期汇报ppt编写，出差汇报，二期预算180</t>
  </si>
  <si>
    <t>海南软件职业技术学院招标文件参数核对满足度（一卡通系统升级，新开普控标参数、客观分已相差20多分，客户基本要丢了）</t>
  </si>
  <si>
    <t>天津师范大学控标点沟通设置（政采项目，对控标点管控很严格）</t>
  </si>
  <si>
    <t>输出南平林业规划清单</t>
  </si>
  <si>
    <t>协同运营事业部黄江对河南工学院进行实地调研，摸排食堂、公寓等后勤建设现状，协助输出相关材料</t>
  </si>
  <si>
    <t>4、山东华宇工学院一卡通升级项目；（李叔平）</t>
    <phoneticPr fontId="1" type="noConversion"/>
  </si>
  <si>
    <t>山东华宇工学院</t>
    <phoneticPr fontId="1" type="noConversion"/>
  </si>
  <si>
    <t>山东华宇工学院一卡通升级项目</t>
    <phoneticPr fontId="1" type="noConversion"/>
  </si>
  <si>
    <t>5、东南大学智慧校园项目支持；（李叔平）</t>
    <phoneticPr fontId="1" type="noConversion"/>
  </si>
  <si>
    <t>东南大学</t>
    <phoneticPr fontId="1" type="noConversion"/>
  </si>
  <si>
    <t>东南大学智慧校园项目</t>
    <phoneticPr fontId="1" type="noConversion"/>
  </si>
  <si>
    <t>6、河北机电职业技术学院一卡通项目演示视频交付，投标时间未定，后续确认；（邱春红）</t>
    <phoneticPr fontId="1" type="noConversion"/>
  </si>
  <si>
    <t>7、火箭军工程大学项目自助机协调，已进入开发阶段，下周到货；（邱春红）</t>
    <phoneticPr fontId="1" type="noConversion"/>
  </si>
  <si>
    <t>8、完成河南省委项目配套建行、农行、工行项目清单和项目方案初稿；（胡启灏）</t>
    <phoneticPr fontId="1" type="noConversion"/>
  </si>
  <si>
    <t>9、协助修改鸡西市教育局项目总体架构图；（胡启灏）</t>
    <phoneticPr fontId="1" type="noConversion"/>
  </si>
  <si>
    <t>协助修改鸡西市教育局项目总体架构图</t>
    <phoneticPr fontId="1" type="noConversion"/>
  </si>
  <si>
    <t>浙江省电力物资分公司</t>
    <phoneticPr fontId="1" type="noConversion"/>
  </si>
  <si>
    <t>11、浙大图书馆运维项目支持协调；（张靖平）</t>
    <phoneticPr fontId="1" type="noConversion"/>
  </si>
  <si>
    <t>12、西安工程大学空调物联项目交付计划拉齐；（张靖平）</t>
    <phoneticPr fontId="1" type="noConversion"/>
  </si>
  <si>
    <t>13、西安理工大学物联线上交流；（张靖平）</t>
    <phoneticPr fontId="1" type="noConversion"/>
  </si>
  <si>
    <t>西安理工大学物联</t>
    <phoneticPr fontId="1" type="noConversion"/>
  </si>
  <si>
    <t>14、山东农业工程大学物联线上交流+初步清单；（张靖平）</t>
    <phoneticPr fontId="1" type="noConversion"/>
  </si>
  <si>
    <t>山东农业工程学院物联</t>
    <phoneticPr fontId="1" type="noConversion"/>
  </si>
  <si>
    <t>15、山东外事物联试点问题线上交流，客户要求照度感应+水机面板上线后给校长汇报；（张靖平）</t>
    <phoneticPr fontId="1" type="noConversion"/>
  </si>
  <si>
    <t>16、河南省委数字孪生方案+清单；（张靖平）</t>
    <phoneticPr fontId="1" type="noConversion"/>
  </si>
  <si>
    <t>河南省委数字孪生</t>
    <phoneticPr fontId="1" type="noConversion"/>
  </si>
  <si>
    <t>数字孪生</t>
    <phoneticPr fontId="1" type="noConversion"/>
  </si>
  <si>
    <t>17、学军中学径山校区申报方案评审；（张靖平）</t>
    <phoneticPr fontId="1" type="noConversion"/>
  </si>
  <si>
    <t>学军中学径山校区申报方案评审</t>
    <phoneticPr fontId="1" type="noConversion"/>
  </si>
  <si>
    <t>18、浙江万里方案碰头；（张靖平）</t>
    <phoneticPr fontId="1" type="noConversion"/>
  </si>
  <si>
    <t>19、支持杭州银行智慧餐饮服务采购项目的第二次投标，完成并审核投标文件终稿，打印投标文件。（郑小勇）</t>
    <phoneticPr fontId="1" type="noConversion"/>
  </si>
  <si>
    <t>支持杭州银行智慧餐饮服务采购项目的第二次投标，完成并审核投标文件终稿，打印投标文件</t>
    <phoneticPr fontId="1" type="noConversion"/>
  </si>
  <si>
    <t>20、支持浙江省公务餐跨区支付云平台信创改造项目，修改和审核浙江省公务餐跨区支付云平台信创改造项目申报方案；（郑小勇）</t>
    <phoneticPr fontId="1" type="noConversion"/>
  </si>
  <si>
    <t>支持浙江省公务餐跨区支付云平台信创改造项目，修改和审核浙江省公务餐跨区支付云平台信创改造项目申报方案</t>
    <phoneticPr fontId="1" type="noConversion"/>
  </si>
  <si>
    <t>21、支持福建卫生职业技术学院银校合作金融科技项目，协助审核项目一卡通系统部分的招标文件；（郑小勇）</t>
    <phoneticPr fontId="1" type="noConversion"/>
  </si>
  <si>
    <t>22、支持镇江高等专科学校的信创应用解决方案的项目申报；（郑小勇）</t>
    <phoneticPr fontId="1" type="noConversion"/>
  </si>
  <si>
    <t>23、育英职业内部汇报稿制作，线上交流，再次修改。重点加强了客户关注内容的内容；（李靖翔）</t>
    <phoneticPr fontId="1" type="noConversion"/>
  </si>
  <si>
    <t>育英职业内部汇报稿制作，线上交流，再次修改。重点加强了客户关注的内容</t>
    <phoneticPr fontId="1" type="noConversion"/>
  </si>
  <si>
    <t>25、河南省委相关内容编制；（李靖翔）</t>
    <phoneticPr fontId="1" type="noConversion"/>
  </si>
  <si>
    <t>26、中国石油银行材料反馈；（李靖翔）</t>
    <phoneticPr fontId="1" type="noConversion"/>
  </si>
  <si>
    <t>27、辽宁十五五规划样例协助；（李靖翔）</t>
    <phoneticPr fontId="1" type="noConversion"/>
  </si>
  <si>
    <t>福建卫生职业技术学院银校合作金融科技项目</t>
    <phoneticPr fontId="1" type="noConversion"/>
  </si>
  <si>
    <t>福建卫生职业技术学院</t>
    <phoneticPr fontId="1" type="noConversion"/>
  </si>
  <si>
    <t>镇江高等专科学校信创应用解决方案</t>
    <phoneticPr fontId="1" type="noConversion"/>
  </si>
  <si>
    <t>镇江市高等专科学校</t>
    <phoneticPr fontId="1" type="noConversion"/>
  </si>
  <si>
    <t>WL2025095</t>
    <phoneticPr fontId="1" type="noConversion"/>
  </si>
  <si>
    <t>哈尔滨商业大学物联项目</t>
    <phoneticPr fontId="1" type="noConversion"/>
  </si>
  <si>
    <t>重庆师范大学物联项目</t>
    <phoneticPr fontId="1" type="noConversion"/>
  </si>
  <si>
    <t>重庆</t>
    <phoneticPr fontId="1" type="noConversion"/>
  </si>
  <si>
    <t>省外</t>
    <phoneticPr fontId="1" type="noConversion"/>
  </si>
  <si>
    <t>重庆师范大学</t>
    <phoneticPr fontId="1" type="noConversion"/>
  </si>
  <si>
    <t>WL2025094</t>
    <phoneticPr fontId="1" type="noConversion"/>
  </si>
  <si>
    <t>13、中国传媒大学一卡通项目；（李叔平）</t>
  </si>
  <si>
    <t>14、中国石油大学一卡通项目；（李叔平）</t>
  </si>
  <si>
    <t>18、河南省委农行、工行全新金融属性清单包装；（李靖翔）</t>
  </si>
  <si>
    <t>1、南京师范大学防水产品问题处理，仍协调中（研发修改程序）；（邱春红）</t>
    <phoneticPr fontId="1" type="noConversion"/>
  </si>
  <si>
    <t>福建省烟草公司福州分公司一卡通项目</t>
  </si>
  <si>
    <t>山东华宇工学院一卡通升级项目</t>
  </si>
  <si>
    <t>东南大学智慧校园项目支持</t>
  </si>
  <si>
    <t>西安理工大学物联线上交流</t>
  </si>
  <si>
    <t>山东农业工程大学物联线上交流+初步清单</t>
  </si>
  <si>
    <t>支持镇江高等专科学校的信创应用解决方案的项目申报</t>
  </si>
  <si>
    <t>2、温州医科大仁济学院现场勘点，教室物联方案和清单提供；（张靖平）</t>
    <phoneticPr fontId="1" type="noConversion"/>
  </si>
  <si>
    <t>温州医科大学仁济学院</t>
    <phoneticPr fontId="1" type="noConversion"/>
  </si>
  <si>
    <t>3、闽侯第八中学空调物联方案+清单；（张靖平）</t>
    <phoneticPr fontId="1" type="noConversion"/>
  </si>
  <si>
    <t>闽侯第八中学</t>
    <phoneticPr fontId="1" type="noConversion"/>
  </si>
  <si>
    <t>4、万里学院余姚校区方案+清单；（张靖平）</t>
    <phoneticPr fontId="1" type="noConversion"/>
  </si>
  <si>
    <t>万里学院余姚校区方案+清单</t>
    <phoneticPr fontId="1" type="noConversion"/>
  </si>
  <si>
    <t>5、浙大图书馆物联项目:挂网，16号开标；（张靖平）</t>
    <phoneticPr fontId="1" type="noConversion"/>
  </si>
  <si>
    <t>6、湖南科技学院物联项目清单+方案；（张靖平）</t>
    <phoneticPr fontId="1" type="noConversion"/>
  </si>
  <si>
    <t>湖南科技学院物联项目清单+方案</t>
    <phoneticPr fontId="1" type="noConversion"/>
  </si>
  <si>
    <t>7、中国音乐学院寝室物联交流，试用；（张靖平）</t>
    <phoneticPr fontId="1" type="noConversion"/>
  </si>
  <si>
    <t>中国音乐学院</t>
    <phoneticPr fontId="1" type="noConversion"/>
  </si>
  <si>
    <t>8、北邮-教育智联网申报材料支持；（张靖平）</t>
    <phoneticPr fontId="1" type="noConversion"/>
  </si>
  <si>
    <t>上海外国语大学</t>
    <phoneticPr fontId="1" type="noConversion"/>
  </si>
  <si>
    <t>9、上海外国语大学一卡通升级融合服务平台，申报方案材料说明编写；（郑小勇）</t>
    <phoneticPr fontId="1" type="noConversion"/>
  </si>
  <si>
    <t>上海外国语大学一卡通升级融合服务平台</t>
    <phoneticPr fontId="1" type="noConversion"/>
  </si>
  <si>
    <t>10、湖南信息职业学院一卡通项目网络安全产品方案配置报价；（郑小勇）</t>
    <phoneticPr fontId="1" type="noConversion"/>
  </si>
  <si>
    <t>湖南信息职业学院一卡通项目</t>
    <phoneticPr fontId="1" type="noConversion"/>
  </si>
  <si>
    <t>11、协助衢州教育局智慧食堂项目方案，软件工作量细化工作；（郑小勇）</t>
    <phoneticPr fontId="1" type="noConversion"/>
  </si>
  <si>
    <t>12、河北机电职业技术学院信息化建设项目投标，开始准备投标文件编写；（郑小勇）</t>
    <phoneticPr fontId="1" type="noConversion"/>
  </si>
  <si>
    <t>15、河南省委项目，河南省委农行、工行全新金融属性清单包装；（李叔平、胡启灏、李靖翔）</t>
    <phoneticPr fontId="1" type="noConversion"/>
  </si>
  <si>
    <t>16、河北机电职业技术学院信息化建设项目支持、跟进；（李叔平）</t>
    <phoneticPr fontId="1" type="noConversion"/>
  </si>
  <si>
    <t>17、嘉兴大学银校项目投标文件暗标协助；（杜辉）</t>
    <phoneticPr fontId="1" type="noConversion"/>
  </si>
  <si>
    <t>嘉兴大学</t>
    <phoneticPr fontId="1" type="noConversion"/>
  </si>
  <si>
    <t>19、衢州市教育局中小学中行工作量拆解；（李靖翔、胡启灏）</t>
    <phoneticPr fontId="1" type="noConversion"/>
  </si>
  <si>
    <t>20、北交大威海数改咨询线上沟通；（李靖翔）</t>
    <phoneticPr fontId="1" type="noConversion"/>
  </si>
  <si>
    <t>21、大连海事智慧校园咨询线上沟通与十五五工作任务建议；（李靖翔）</t>
    <phoneticPr fontId="1" type="noConversion"/>
  </si>
  <si>
    <t>大连海事智慧校园</t>
    <phoneticPr fontId="1" type="noConversion"/>
  </si>
  <si>
    <t>河南省委数字孪生方案+清单</t>
    <phoneticPr fontId="1" type="noConversion"/>
  </si>
  <si>
    <t>22、国网电力，绍兴慧畅大厦新大楼电力食堂、新昌县电力食堂、杭州康达电力新大楼食堂项目、进浙江省电力绿智食堂项目、撑福建省电力绿智食堂项目推进</t>
    <phoneticPr fontId="1" type="noConversion"/>
  </si>
  <si>
    <t>绍兴慧畅大厦新大楼电力食堂</t>
    <phoneticPr fontId="1" type="noConversion"/>
  </si>
  <si>
    <t>新昌县电力食堂</t>
    <phoneticPr fontId="1" type="noConversion"/>
  </si>
  <si>
    <t>杭州康达电力新大楼食堂项目</t>
    <phoneticPr fontId="1" type="noConversion"/>
  </si>
  <si>
    <t>中国音乐学院宿舍无人断电项目</t>
    <phoneticPr fontId="1" type="noConversion"/>
  </si>
  <si>
    <t>WL2025096</t>
    <phoneticPr fontId="1" type="noConversion"/>
  </si>
  <si>
    <t>23、杭分王林峰某学校银行清单编制；（李靖翔）</t>
  </si>
  <si>
    <t>1、三明医学科技职业学院现场投标（中标）；（邱春红）</t>
    <phoneticPr fontId="1" type="noConversion"/>
  </si>
  <si>
    <t>三明医学科技职业学院</t>
    <phoneticPr fontId="1" type="noConversion"/>
  </si>
  <si>
    <t>湖南信息职业技术学院</t>
    <phoneticPr fontId="1" type="noConversion"/>
  </si>
  <si>
    <t>闽侯第八中学空调物联方案+清单</t>
  </si>
  <si>
    <t>中国音乐学院寝室物联交流，试用</t>
  </si>
  <si>
    <t>上海外国语大学一卡通升级融合服务平台，申报方案材料说明编写</t>
  </si>
  <si>
    <t>湖南信息职业学院一卡通项目网络安全产品方案配置报价</t>
  </si>
  <si>
    <t>2、南京师范YT325防水款内存问题更换设备协调（第二批）；（邱春红）</t>
    <phoneticPr fontId="1" type="noConversion"/>
  </si>
  <si>
    <t>邱春红</t>
  </si>
  <si>
    <t>三明医学科技职业学院学生公寓水电控系统维保服务项目</t>
    <phoneticPr fontId="1" type="noConversion"/>
  </si>
  <si>
    <t>首钢技师学院智慧校园一卡通采购项目</t>
    <phoneticPr fontId="1" type="noConversion"/>
  </si>
  <si>
    <t>3、浙江万里学院校园大脑项目招标参数编制，建设方案编制，项目沟通。因目前建设方案及参数与学校设想仍有较大差距，需进行大调整；（齐益军）</t>
    <phoneticPr fontId="1" type="noConversion"/>
  </si>
  <si>
    <t>山东青年政治学院校园e卡通建设升级项目</t>
    <phoneticPr fontId="1" type="noConversion"/>
  </si>
  <si>
    <t>山东青年政治学院</t>
    <phoneticPr fontId="1" type="noConversion"/>
  </si>
  <si>
    <t>浙江万里学院校园大脑项目招标参数编制，建设方案编制，项目沟通。因目前建设方案及参数与学校设想仍有较大差距，需进行大调整</t>
    <phoneticPr fontId="1" type="noConversion"/>
  </si>
  <si>
    <t>4、钱塘大学整体智慧校园规划设计方案编制，内容包括基础设施、数字基座、主要业务系统、一卡通、场景应用等，涉及学校大部分业务域，word版及ppt版都已完成初稿，等销售联系设计单位进行沟通交流，视交流情况进行后续工作；（齐益军）</t>
    <phoneticPr fontId="1" type="noConversion"/>
  </si>
  <si>
    <t>钱塘大学(筹)</t>
    <phoneticPr fontId="1" type="noConversion"/>
  </si>
  <si>
    <t>钱塘大学整体智慧校园</t>
    <phoneticPr fontId="1" type="noConversion"/>
  </si>
  <si>
    <t>5、中国石油大学一卡通项目（招标文件）；（李叔平）</t>
    <phoneticPr fontId="1" type="noConversion"/>
  </si>
  <si>
    <t>6、中国传媒大学一卡通项目（方案及试用环境）；（李叔平）</t>
    <phoneticPr fontId="1" type="noConversion"/>
  </si>
  <si>
    <t>7、嘉兴大学银校合作项目；（李叔平）</t>
    <phoneticPr fontId="1" type="noConversion"/>
  </si>
  <si>
    <t>嘉兴大学银校合作项目</t>
    <phoneticPr fontId="1" type="noConversion"/>
  </si>
  <si>
    <t>8、北京理工大学长三角研究院（嘉兴）银校合作项目；（李叔平）</t>
    <phoneticPr fontId="1" type="noConversion"/>
  </si>
  <si>
    <t>北京理工大学长三角研究院（嘉兴）银校合作项目</t>
    <phoneticPr fontId="1" type="noConversion"/>
  </si>
  <si>
    <t>9、哈尔滨东方学院智慧餐厅项目；（李叔平）</t>
    <phoneticPr fontId="1" type="noConversion"/>
  </si>
  <si>
    <t>黑龙江东方学院</t>
  </si>
  <si>
    <t>哈尔滨东方学院智慧餐厅项目</t>
    <phoneticPr fontId="1" type="noConversion"/>
  </si>
  <si>
    <t>10、浙江工商大学一卡通项目支持；（李叔平）</t>
    <phoneticPr fontId="1" type="noConversion"/>
  </si>
  <si>
    <t>浙江工商大学一卡通项目</t>
    <phoneticPr fontId="1" type="noConversion"/>
  </si>
  <si>
    <t>11、北京化工大学思政远程交流；（张靖平）</t>
    <phoneticPr fontId="1" type="noConversion"/>
  </si>
  <si>
    <t>北京化工大学</t>
    <phoneticPr fontId="1" type="noConversion"/>
  </si>
  <si>
    <t>北京化工大学思政</t>
    <phoneticPr fontId="1" type="noConversion"/>
  </si>
  <si>
    <t>北京</t>
    <phoneticPr fontId="1" type="noConversion"/>
  </si>
  <si>
    <t>12、滨州医学院ioc智能运营中心方案和清单；（张靖平）</t>
    <phoneticPr fontId="1" type="noConversion"/>
  </si>
  <si>
    <t>滨州医学院ioc智能运营中心方案和清单</t>
    <phoneticPr fontId="1" type="noConversion"/>
  </si>
  <si>
    <t>13、天津理工大学后勤项目物联方案支持；（张靖平）</t>
    <phoneticPr fontId="1" type="noConversion"/>
  </si>
  <si>
    <t>天津理工大学后勤项目物联</t>
    <phoneticPr fontId="1" type="noConversion"/>
  </si>
  <si>
    <t>宁波财经学院</t>
  </si>
  <si>
    <t>14、宁波财经学院公寓物联勘点；（张靖平）</t>
    <phoneticPr fontId="1" type="noConversion"/>
  </si>
  <si>
    <t>宁波财经学院公寓物联</t>
    <phoneticPr fontId="1" type="noConversion"/>
  </si>
  <si>
    <t>15、河南科技大学清单；（张靖平）</t>
    <phoneticPr fontId="1" type="noConversion"/>
  </si>
  <si>
    <t>河南科技大学</t>
    <phoneticPr fontId="1" type="noConversion"/>
  </si>
  <si>
    <t>黄江</t>
    <phoneticPr fontId="1" type="noConversion"/>
  </si>
  <si>
    <t>河南科技大学银校合作项目</t>
    <phoneticPr fontId="1" type="noConversion"/>
  </si>
  <si>
    <t>16、浙大图书馆运维项目落地方案支持；（张靖平）</t>
    <phoneticPr fontId="1" type="noConversion"/>
  </si>
  <si>
    <t>17、完成河南省委项目&amp;建行建设清单、明细清单、立项申报系统材料，以及立项申报技术方案、项目实施需求方案、项目信息安全方案、产品采购询价清单；（胡启灏）</t>
    <phoneticPr fontId="1" type="noConversion"/>
  </si>
  <si>
    <t>18、北京石油大学招标文件编写；（杜辉）</t>
    <phoneticPr fontId="1" type="noConversion"/>
  </si>
  <si>
    <t>19、国网电力杭州康达电力新大楼，台州供电公司大楼改造项目，温州泰顺电力绿智食堂改造项目，浙江省电力绿智食堂项目，福建省电力绿智食堂项目支持推进;（潘燕忠）</t>
    <phoneticPr fontId="1" type="noConversion"/>
  </si>
  <si>
    <t>台州供电公司大楼改造项目</t>
    <phoneticPr fontId="1" type="noConversion"/>
  </si>
  <si>
    <t>20、编制河北职业技术学院一卡通项目投标技术方案，包括易通/融合服务平台的投标技术方案、深信服/麒麟的信创投标技术方案等，本项目投标时间为12月23日；（郑小勇）</t>
    <phoneticPr fontId="1" type="noConversion"/>
  </si>
  <si>
    <t>河北机电职业技术学院信息化建设项目（第一期）</t>
    <phoneticPr fontId="1" type="noConversion"/>
  </si>
  <si>
    <t>21、支持济南职业学院一卡通新校区项目的建设方案和报价文件的撰写支持，下周继续跟进项目；（郑小勇）</t>
    <phoneticPr fontId="1" type="noConversion"/>
  </si>
  <si>
    <t>济南职业学院一卡通新校区项目</t>
    <phoneticPr fontId="1" type="noConversion"/>
  </si>
  <si>
    <t>22、大连海事大学十五五规划输出。学校计划近期同校长汇报；（李靖翔）</t>
    <phoneticPr fontId="1" type="noConversion"/>
  </si>
  <si>
    <t>山东城市服务职业学院二期建设弱电-物联平台</t>
    <phoneticPr fontId="1" type="noConversion"/>
  </si>
  <si>
    <t>山东</t>
    <phoneticPr fontId="1" type="noConversion"/>
  </si>
  <si>
    <t>子公司</t>
    <phoneticPr fontId="1" type="noConversion"/>
  </si>
  <si>
    <t>山东城市服务职业学院</t>
    <phoneticPr fontId="1" type="noConversion"/>
  </si>
  <si>
    <t>WL2025097</t>
    <phoneticPr fontId="1" type="noConversion"/>
  </si>
  <si>
    <t>WL2025098</t>
    <phoneticPr fontId="1" type="noConversion"/>
  </si>
  <si>
    <t>WL2025100</t>
    <phoneticPr fontId="1" type="noConversion"/>
  </si>
  <si>
    <t>WL2025099</t>
    <phoneticPr fontId="1" type="noConversion"/>
  </si>
  <si>
    <t>WL2025104</t>
    <phoneticPr fontId="1" type="noConversion"/>
  </si>
  <si>
    <t>WL2025102</t>
    <phoneticPr fontId="1" type="noConversion"/>
  </si>
  <si>
    <t>WL2025103</t>
    <phoneticPr fontId="1" type="noConversion"/>
  </si>
  <si>
    <t>青岛科技大学公寓物联</t>
    <phoneticPr fontId="1" type="noConversion"/>
  </si>
  <si>
    <t>青岛科技大学</t>
    <phoneticPr fontId="1" type="noConversion"/>
  </si>
  <si>
    <t>WL2025101</t>
    <phoneticPr fontId="1" type="noConversion"/>
  </si>
  <si>
    <t>15、福建子公司预约对接物联远程交流；（张靖平）</t>
  </si>
  <si>
    <t>1、济南职业学院清单、方案，物联网及数字孪生；（张靖平、朱嘉劼）</t>
    <phoneticPr fontId="1" type="noConversion"/>
  </si>
  <si>
    <t>2、天津理工大学物联清单；（张靖平、朱嘉劼）</t>
    <phoneticPr fontId="1" type="noConversion"/>
  </si>
  <si>
    <t>天津理工大学物联清单</t>
    <phoneticPr fontId="1" type="noConversion"/>
  </si>
  <si>
    <t>3、重庆师范大学物联项目跟进；（张靖平、朱嘉劼）</t>
    <phoneticPr fontId="1" type="noConversion"/>
  </si>
  <si>
    <t>4、河南省委农行、工行、建行清单调整，配套建议方案说明；（李靖翔、胡启灏）</t>
    <phoneticPr fontId="1" type="noConversion"/>
  </si>
  <si>
    <t>5、衢州市教育局中行项目省行沟通支持+工作量评估说明+招标文件调整；（李靖翔、胡启灏）</t>
    <phoneticPr fontId="1" type="noConversion"/>
  </si>
  <si>
    <t>华云下沙科技园</t>
    <phoneticPr fontId="1" type="noConversion"/>
  </si>
  <si>
    <t>无具体项目</t>
    <phoneticPr fontId="1" type="noConversion"/>
  </si>
  <si>
    <t>9、国网电力，华云下沙科技园、浙江省电力、福建电力四处方案及项目推进;（潘燕忠）</t>
    <phoneticPr fontId="1" type="noConversion"/>
  </si>
  <si>
    <t>方案及项目推进</t>
    <phoneticPr fontId="1" type="noConversion"/>
  </si>
  <si>
    <t>建德市供电局绿智食堂</t>
    <phoneticPr fontId="1" type="noConversion"/>
  </si>
  <si>
    <t>丽水市莲都区供电公司绿智食堂</t>
    <phoneticPr fontId="1" type="noConversion"/>
  </si>
  <si>
    <t>6、北交大威海咨询线上交流；（李靖翔）</t>
    <phoneticPr fontId="1" type="noConversion"/>
  </si>
  <si>
    <t>温理工AI预警</t>
    <phoneticPr fontId="1" type="noConversion"/>
  </si>
  <si>
    <t>温州理工大学智慧思政项目（ai+思政）</t>
    <phoneticPr fontId="1" type="noConversion"/>
  </si>
  <si>
    <t>7、温理工AI预警；（李靖翔）</t>
    <phoneticPr fontId="1" type="noConversion"/>
  </si>
  <si>
    <t>8、大连海事识咨询商机临时材料支撑；（李靖翔）</t>
    <phoneticPr fontId="1" type="noConversion"/>
  </si>
  <si>
    <t>10、本周浙江全省进行《坚果设备接入华云平台实操》赋能培训，应对明年1月底国网电力绿智食堂项目验收，培训后要求全省技术查漏补缺，对剩下未完成技术升级接入工作，要求在1月10号前全部完成；（潘燕忠）</t>
    <phoneticPr fontId="1" type="noConversion"/>
  </si>
  <si>
    <t>11、河北机电职业技术学院投标文件检查；（杜辉）</t>
    <phoneticPr fontId="1" type="noConversion"/>
  </si>
  <si>
    <t>12、北京石油大学招标文件编写；（杜辉、李叔平）</t>
    <phoneticPr fontId="1" type="noConversion"/>
  </si>
  <si>
    <t>13、北京化工大学智慧学工汇报材料编写；（张靖平）</t>
    <phoneticPr fontId="1" type="noConversion"/>
  </si>
  <si>
    <t>14、浙大图书馆运维项目支持协调；（张靖平）</t>
    <phoneticPr fontId="1" type="noConversion"/>
  </si>
  <si>
    <t>16、青岛科技大学公寓物联网建设清单和方案编写；（张靖平）</t>
    <phoneticPr fontId="1" type="noConversion"/>
  </si>
  <si>
    <t>青岛科技大学公寓物联网建设清单和方案编写</t>
    <phoneticPr fontId="1" type="noConversion"/>
  </si>
  <si>
    <t>17、中石油思政二期上会材料编写；（张靖平）</t>
    <phoneticPr fontId="1" type="noConversion"/>
  </si>
  <si>
    <t>企业</t>
    <phoneticPr fontId="1" type="noConversion"/>
  </si>
  <si>
    <t>中石油思政二期</t>
    <phoneticPr fontId="1" type="noConversion"/>
  </si>
  <si>
    <t>中石油</t>
    <phoneticPr fontId="1" type="noConversion"/>
  </si>
  <si>
    <t>河南科技大学清单</t>
    <phoneticPr fontId="1" type="noConversion"/>
  </si>
  <si>
    <t>钱塘大学整体智慧校园规划设计方案编制，内容包括基础设施、数字基座、主要业务系统、一卡通、场景应用等，涉及学校大部分业务域，word版及ppt版都已完成初稿，等销售联系设计单位进行沟通交流，视交流情况进行后续工作</t>
  </si>
  <si>
    <t>哈尔滨东方学院智慧餐厅项目</t>
  </si>
  <si>
    <t>浙江工商大学一卡通项目支持</t>
  </si>
  <si>
    <t>18、宁波财经公寓物联网建设现场调研；（张靖平）</t>
    <phoneticPr fontId="1" type="noConversion"/>
  </si>
  <si>
    <t>宁波财经公寓物联网建设现场调研</t>
    <phoneticPr fontId="1" type="noConversion"/>
  </si>
  <si>
    <t>19、河北职业技术学院一卡通项目投标支持，本周完成项目投标技术文件初稿，下周二正式投标；（郑小勇）</t>
    <phoneticPr fontId="1" type="noConversion"/>
  </si>
  <si>
    <t>20、支持上海财经大学一卡通项目，准备下周四去上海财大的融合PPT建设方案；（郑小勇）</t>
    <phoneticPr fontId="1" type="noConversion"/>
  </si>
  <si>
    <t>河北机电</t>
    <phoneticPr fontId="1" type="noConversion"/>
  </si>
  <si>
    <t>21、支持哈尔滨科学职业学院一卡通项目，支持一线售前的副标文件；（郑小勇）</t>
    <phoneticPr fontId="1" type="noConversion"/>
  </si>
  <si>
    <t>22、中国石油大学（北京）一卡通项目；（李叔平）</t>
    <phoneticPr fontId="1" type="noConversion"/>
  </si>
  <si>
    <t>23、河南省机关事务管理局项目；（李叔平）</t>
    <phoneticPr fontId="1" type="noConversion"/>
  </si>
  <si>
    <t>24、青岛科技大学一卡通项目支持；（李叔平）</t>
    <phoneticPr fontId="1" type="noConversion"/>
  </si>
  <si>
    <t>青岛科技大学一卡通</t>
    <phoneticPr fontId="1" type="noConversion"/>
  </si>
  <si>
    <t>25、哈尔滨科技职业技术学院一卡通项目投标文件编制；（齐益军）</t>
    <phoneticPr fontId="1" type="noConversion"/>
  </si>
  <si>
    <t>哈尔滨科学技术职业学院</t>
    <phoneticPr fontId="1" type="noConversion"/>
  </si>
  <si>
    <t>26、佳木斯大学一卡通项目配置清单编制；（齐益军）</t>
    <phoneticPr fontId="1" type="noConversion"/>
  </si>
  <si>
    <t>佳木斯大学一卡通项目配置清单编制</t>
    <phoneticPr fontId="1" type="noConversion"/>
  </si>
  <si>
    <t>27、厦大马来校区对接第三方系统协调技术支撑，暂无问题；（邱春红）</t>
    <phoneticPr fontId="1" type="noConversion"/>
  </si>
  <si>
    <t>28、南京师范大学防水款YT325协调更换内存，最后一批，下周可发货；（邱春红）</t>
    <phoneticPr fontId="1" type="noConversion"/>
  </si>
  <si>
    <t>高校</t>
    <phoneticPr fontId="1" type="noConversion"/>
  </si>
  <si>
    <t>中国石油大学物联平台</t>
    <phoneticPr fontId="1" type="noConversion"/>
  </si>
  <si>
    <t>WL2025105</t>
    <phoneticPr fontId="1" type="noConversion"/>
  </si>
  <si>
    <t>WL2025106</t>
    <phoneticPr fontId="1" type="noConversion"/>
  </si>
  <si>
    <t>WL2025109</t>
  </si>
  <si>
    <t>WL2025107</t>
  </si>
  <si>
    <t>WL2025108</t>
  </si>
  <si>
    <t>WL2025110</t>
  </si>
  <si>
    <t>已签供货联系单并发货，设备金额：240790</t>
    <phoneticPr fontId="1" type="noConversion"/>
  </si>
  <si>
    <t>丽水-25-20</t>
  </si>
  <si>
    <t>丽水-25-14</t>
  </si>
  <si>
    <t>丽水-25-16</t>
  </si>
  <si>
    <t>杭州-25-117</t>
  </si>
  <si>
    <t>温州-25-51</t>
  </si>
  <si>
    <t>金华-25-45</t>
  </si>
  <si>
    <t>杭州-25-122</t>
  </si>
  <si>
    <t>绍兴-25-40</t>
  </si>
  <si>
    <t>温州-25-68</t>
  </si>
  <si>
    <t>温州-25-75</t>
  </si>
  <si>
    <t>台州-25-56</t>
  </si>
  <si>
    <t>绍兴-25-39</t>
  </si>
  <si>
    <t>杭州-25-49、杭州-25-67、杭州-25-168</t>
    <phoneticPr fontId="1" type="noConversion"/>
  </si>
  <si>
    <t>丽水-25-11</t>
  </si>
  <si>
    <t>杭州-25-118</t>
  </si>
  <si>
    <t>已签供货联系单并发货，设备金额：105800</t>
    <phoneticPr fontId="1" type="noConversion"/>
  </si>
  <si>
    <t>已签供货联系单并发货，设备金额：76010</t>
    <phoneticPr fontId="1" type="noConversion"/>
  </si>
  <si>
    <t>已签供货联系单并发货，设备金额：268273</t>
    <phoneticPr fontId="1" type="noConversion"/>
  </si>
  <si>
    <t>已签供货联系单并发货，设备金额：79500</t>
  </si>
  <si>
    <t>黑龙江财经学院没中标，被智慧树中标</t>
    <phoneticPr fontId="1" type="noConversion"/>
  </si>
  <si>
    <t>序号</t>
  </si>
  <si>
    <t>表头订单号</t>
  </si>
  <si>
    <t>发货单号</t>
  </si>
  <si>
    <t>发货日期</t>
  </si>
  <si>
    <t>退货标识</t>
  </si>
  <si>
    <t>业务类型</t>
  </si>
  <si>
    <t>销售类型</t>
  </si>
  <si>
    <t>客户编码</t>
  </si>
  <si>
    <t>客户简称</t>
  </si>
  <si>
    <t>销售部门</t>
  </si>
  <si>
    <t>业 务 员</t>
  </si>
  <si>
    <t>币种</t>
  </si>
  <si>
    <t>汇 率</t>
  </si>
  <si>
    <t>仓库</t>
  </si>
  <si>
    <t>存货编码</t>
  </si>
  <si>
    <t>存货代码</t>
  </si>
  <si>
    <t>存货名称</t>
  </si>
  <si>
    <t>规格型号</t>
  </si>
  <si>
    <t>批号</t>
  </si>
  <si>
    <t>数量</t>
  </si>
  <si>
    <t>报价</t>
  </si>
  <si>
    <t>含税单价</t>
  </si>
  <si>
    <t>无税金额</t>
  </si>
  <si>
    <t>税率（%）</t>
  </si>
  <si>
    <t>无税单价</t>
  </si>
  <si>
    <t>税额</t>
  </si>
  <si>
    <t>价税合计</t>
  </si>
  <si>
    <t>制单人</t>
  </si>
  <si>
    <t>审核人</t>
  </si>
  <si>
    <t>表体记账日期</t>
  </si>
  <si>
    <t>项目编码</t>
  </si>
  <si>
    <t>项目名称</t>
  </si>
  <si>
    <t>备 注</t>
  </si>
  <si>
    <t>开票单位简称</t>
  </si>
  <si>
    <t>项目</t>
  </si>
  <si>
    <t>3470</t>
  </si>
  <si>
    <t>2025030086</t>
  </si>
  <si>
    <t>2025030097</t>
  </si>
  <si>
    <t>2025-03-04</t>
  </si>
  <si>
    <t>否</t>
  </si>
  <si>
    <t>分期收款</t>
  </si>
  <si>
    <t>综合一卡通</t>
  </si>
  <si>
    <t>33050267</t>
  </si>
  <si>
    <t>国网浙江省电力公司桐乡供电公司</t>
  </si>
  <si>
    <t>嘉兴分公司</t>
  </si>
  <si>
    <t>韩梦雅</t>
  </si>
  <si>
    <t>人民币</t>
  </si>
  <si>
    <t>1</t>
  </si>
  <si>
    <t>公司本部</t>
  </si>
  <si>
    <t>01240009</t>
  </si>
  <si>
    <t>智能健康一体机</t>
  </si>
  <si>
    <t>SH-V20</t>
  </si>
  <si>
    <t>2025027126</t>
  </si>
  <si>
    <t>0</t>
  </si>
  <si>
    <t>40000</t>
  </si>
  <si>
    <t>35398.23</t>
  </si>
  <si>
    <t>13</t>
  </si>
  <si>
    <t>4601.77</t>
  </si>
  <si>
    <t>柳全芬</t>
  </si>
  <si>
    <t>2025-03-31</t>
  </si>
  <si>
    <t>202402190</t>
  </si>
  <si>
    <t>桐乡电力局绿智食堂项目2024</t>
  </si>
  <si>
    <t>直发 雄伟</t>
  </si>
  <si>
    <t>9692</t>
  </si>
  <si>
    <t>2025041331</t>
  </si>
  <si>
    <t>2025-04-30</t>
  </si>
  <si>
    <t>是</t>
  </si>
  <si>
    <t>普通销售</t>
  </si>
  <si>
    <t>30012297</t>
  </si>
  <si>
    <t>浙江省送变电工程有限公司</t>
  </si>
  <si>
    <t>杭州分公司</t>
  </si>
  <si>
    <t>王海春</t>
  </si>
  <si>
    <t>13010015</t>
  </si>
  <si>
    <t>系统集成费（专用）</t>
  </si>
  <si>
    <t>-1</t>
  </si>
  <si>
    <t>175900</t>
  </si>
  <si>
    <t>-155663.72</t>
  </si>
  <si>
    <t>155663.716814</t>
  </si>
  <si>
    <t>-20236.28</t>
  </si>
  <si>
    <t>涂玲玲</t>
  </si>
  <si>
    <t>202401883</t>
  </si>
  <si>
    <t>浙江送变电工程有限公司AI结算台项目2024</t>
  </si>
  <si>
    <t>调整2024年11月收入</t>
  </si>
  <si>
    <t>25826</t>
  </si>
  <si>
    <t>2025091245</t>
  </si>
  <si>
    <t>2025091336</t>
  </si>
  <si>
    <t>2025-09-23</t>
  </si>
  <si>
    <t>33101216</t>
  </si>
  <si>
    <t>仙居县恒信电力有限公司职工食堂</t>
  </si>
  <si>
    <t>温台分公司（台）</t>
  </si>
  <si>
    <t>陈俊</t>
  </si>
  <si>
    <t>11090283</t>
  </si>
  <si>
    <t>热敏打印机</t>
  </si>
  <si>
    <t>HS-E81ULWB</t>
  </si>
  <si>
    <t>2025090385</t>
  </si>
  <si>
    <t>2600</t>
  </si>
  <si>
    <t>2300.88</t>
  </si>
  <si>
    <t>299.12</t>
  </si>
  <si>
    <t>2025-09-30</t>
  </si>
  <si>
    <t>202501726</t>
  </si>
  <si>
    <t>仙居县恒信电力有限公司智慧后厨项目2025</t>
  </si>
  <si>
    <t>直发</t>
  </si>
  <si>
    <t>27578</t>
  </si>
  <si>
    <t>2025092172</t>
  </si>
  <si>
    <t>2025092419</t>
  </si>
  <si>
    <t>01220829</t>
  </si>
  <si>
    <t>管理一体机（包含坚果智慧晨检仪嵌入软件V1.0）</t>
  </si>
  <si>
    <t>YT801</t>
  </si>
  <si>
    <t>2025090676</t>
  </si>
  <si>
    <t>23500</t>
  </si>
  <si>
    <t>20796.46</t>
  </si>
  <si>
    <t>2703.54</t>
  </si>
  <si>
    <t>27579</t>
  </si>
  <si>
    <t>01220830</t>
  </si>
  <si>
    <t>智能留样柜（包含坚果智慧智能留样嵌入软件V1.0）</t>
  </si>
  <si>
    <t>2025090675</t>
  </si>
  <si>
    <t>43000</t>
  </si>
  <si>
    <t>38053.1</t>
  </si>
  <si>
    <t>4946.9</t>
  </si>
  <si>
    <t>27811</t>
  </si>
  <si>
    <t>2025092247</t>
  </si>
  <si>
    <t>2025092563</t>
  </si>
  <si>
    <t>33013346</t>
  </si>
  <si>
    <t>国网浙江省电力有限公司电力科学研究院</t>
  </si>
  <si>
    <t>陈宏嘉</t>
  </si>
  <si>
    <t>01220835</t>
  </si>
  <si>
    <t>食安检测试剂</t>
  </si>
  <si>
    <t>2025090665</t>
  </si>
  <si>
    <t>7500</t>
  </si>
  <si>
    <t>6637.17</t>
  </si>
  <si>
    <t>862.83</t>
  </si>
  <si>
    <t>202501700</t>
  </si>
  <si>
    <t>国网浙江省电力有限公司电力科学研究院绿智食堂2025</t>
  </si>
  <si>
    <t>27812</t>
  </si>
  <si>
    <t>01220834</t>
  </si>
  <si>
    <t>算法服务器（包含坚果智慧餐饮场景分析算法嵌入软件V1.0）</t>
  </si>
  <si>
    <t>YT-815</t>
  </si>
  <si>
    <t>2025090663</t>
  </si>
  <si>
    <t>50000</t>
  </si>
  <si>
    <t>44247.79</t>
  </si>
  <si>
    <t>5752.21</t>
  </si>
  <si>
    <t>27813</t>
  </si>
  <si>
    <t>01220836</t>
  </si>
  <si>
    <t>食品安全智能分析仪</t>
  </si>
  <si>
    <t>LY-2H1</t>
  </si>
  <si>
    <t>2025090666</t>
  </si>
  <si>
    <t>55000</t>
  </si>
  <si>
    <t>48672.57</t>
  </si>
  <si>
    <t>6327.43</t>
  </si>
  <si>
    <t>27814</t>
  </si>
  <si>
    <t>2025090662</t>
  </si>
  <si>
    <t>19000</t>
  </si>
  <si>
    <t>16814.16</t>
  </si>
  <si>
    <t>2185.84</t>
  </si>
  <si>
    <t>27815</t>
  </si>
  <si>
    <t>2025090664</t>
  </si>
  <si>
    <t>28800</t>
  </si>
  <si>
    <t>25486.73</t>
  </si>
  <si>
    <t>3313.27</t>
  </si>
  <si>
    <t>31016</t>
  </si>
  <si>
    <t>2025101475</t>
  </si>
  <si>
    <t>2025101847</t>
  </si>
  <si>
    <t>2025-10-31</t>
  </si>
  <si>
    <t>01220568</t>
  </si>
  <si>
    <t>冷冻柜副机</t>
  </si>
  <si>
    <t>X3B-2T12</t>
  </si>
  <si>
    <t>2025101474</t>
  </si>
  <si>
    <t>26500</t>
  </si>
  <si>
    <t>23451.33</t>
  </si>
  <si>
    <t>3048.67</t>
  </si>
  <si>
    <t>31017</t>
  </si>
  <si>
    <t>2025101470</t>
  </si>
  <si>
    <t>31018</t>
  </si>
  <si>
    <t>01220226</t>
  </si>
  <si>
    <t>生鲜柜主机</t>
  </si>
  <si>
    <t>DBS-B2</t>
  </si>
  <si>
    <t>2025101469</t>
  </si>
  <si>
    <t>28973</t>
  </si>
  <si>
    <t>25639.82</t>
  </si>
  <si>
    <t>3333.18</t>
  </si>
  <si>
    <t>32760</t>
  </si>
  <si>
    <t>2025110906</t>
  </si>
  <si>
    <t>2025111021</t>
  </si>
  <si>
    <t>2025-11-24</t>
  </si>
  <si>
    <t>33028380</t>
  </si>
  <si>
    <t>国网浙江省电力有限公司宁海县供电公司</t>
  </si>
  <si>
    <t>宁波分公司</t>
  </si>
  <si>
    <t>刘旭</t>
  </si>
  <si>
    <t>01220463</t>
  </si>
  <si>
    <t>2025-11-30</t>
  </si>
  <si>
    <t>202501856</t>
  </si>
  <si>
    <t>宁海电力绿智食堂项目2025</t>
  </si>
  <si>
    <t>32761</t>
  </si>
  <si>
    <t>01220506</t>
  </si>
  <si>
    <t>留样盒</t>
  </si>
  <si>
    <t>100</t>
  </si>
  <si>
    <t>15</t>
  </si>
  <si>
    <t>1327.43</t>
  </si>
  <si>
    <t>13.2743</t>
  </si>
  <si>
    <t>172.57</t>
  </si>
  <si>
    <t>32762</t>
  </si>
  <si>
    <t>2025111838</t>
  </si>
  <si>
    <t>32763</t>
  </si>
  <si>
    <t>01220709</t>
  </si>
  <si>
    <t>智能验货机（包含坚果智慧智能验货机嵌入软件V1.0）</t>
  </si>
  <si>
    <t>2025111839</t>
  </si>
  <si>
    <t>32838</t>
  </si>
  <si>
    <t>2025110923</t>
  </si>
  <si>
    <t>2025111068</t>
  </si>
  <si>
    <t>2025-11-25</t>
  </si>
  <si>
    <t>2025111791</t>
  </si>
  <si>
    <t>26000</t>
  </si>
  <si>
    <t>23008.85</t>
  </si>
  <si>
    <t>2991.15</t>
  </si>
  <si>
    <t>34049</t>
  </si>
  <si>
    <t>2025111795</t>
  </si>
  <si>
    <t>240790</t>
  </si>
  <si>
    <t>-213088.49</t>
  </si>
  <si>
    <t>213088.49</t>
  </si>
  <si>
    <t>-27701.51</t>
  </si>
  <si>
    <t>调整2025年3月收入</t>
  </si>
  <si>
    <t>黄江</t>
    <phoneticPr fontId="1" type="noConversion"/>
  </si>
  <si>
    <t>台州学院中行银校合作项目</t>
    <phoneticPr fontId="1" type="noConversion"/>
  </si>
  <si>
    <t>台州-25-07、08</t>
  </si>
  <si>
    <t>台州-25-57、58</t>
    <phoneticPr fontId="1" type="noConversion"/>
  </si>
  <si>
    <t>郑州-25-17、18</t>
    <phoneticPr fontId="1" type="noConversion"/>
  </si>
  <si>
    <t>金华-25-49、50</t>
  </si>
  <si>
    <t>天津-25-03</t>
  </si>
  <si>
    <t>合同未归档</t>
    <phoneticPr fontId="1" type="noConversion"/>
  </si>
  <si>
    <t>北京-25-12</t>
  </si>
  <si>
    <t>杭州-25-114</t>
  </si>
  <si>
    <t>天津-25-16</t>
  </si>
  <si>
    <t>湖州-25-04</t>
  </si>
  <si>
    <t>华东-25-46、47</t>
  </si>
  <si>
    <t>河北-25-12</t>
  </si>
  <si>
    <t>北京-25-02</t>
  </si>
  <si>
    <t>中国建设银行股份有限公司浙江省分行</t>
    <phoneticPr fontId="1" type="noConversion"/>
  </si>
  <si>
    <t>山东-25-36、37</t>
  </si>
  <si>
    <t>宁波-25-24</t>
  </si>
  <si>
    <t>华东-25-40</t>
  </si>
  <si>
    <t>陕西-25-22</t>
  </si>
  <si>
    <t>杭州-25-95</t>
  </si>
  <si>
    <t>暂未签合同</t>
    <phoneticPr fontId="1" type="noConversion"/>
  </si>
  <si>
    <t>北京-25-09</t>
  </si>
  <si>
    <t>坚果-25-01</t>
  </si>
  <si>
    <t>北京-25-11</t>
  </si>
  <si>
    <t>北京海淀区（资核中心幼儿园）</t>
    <phoneticPr fontId="1" type="noConversion"/>
  </si>
  <si>
    <t>中国移动817万中标</t>
    <phoneticPr fontId="1" type="noConversion"/>
  </si>
  <si>
    <t>陕西-25-23</t>
  </si>
  <si>
    <t>新开普719万中标</t>
    <phoneticPr fontId="1" type="noConversion"/>
  </si>
  <si>
    <t>中移系统集成956万中标</t>
    <phoneticPr fontId="1" type="noConversion"/>
  </si>
  <si>
    <t>日照职业技术学院天台山校区一卡通项目投标素材输出</t>
    <phoneticPr fontId="1" type="noConversion"/>
  </si>
  <si>
    <t>中石油思政二期上会材料编写</t>
    <phoneticPr fontId="1" type="noConversion"/>
  </si>
  <si>
    <t>青岛科技大学一卡通项目支持</t>
    <phoneticPr fontId="1" type="noConversion"/>
  </si>
  <si>
    <t>嘉兴-25-37</t>
    <phoneticPr fontId="1" type="noConversion"/>
  </si>
  <si>
    <t>中国科学技术大学</t>
    <phoneticPr fontId="1" type="noConversion"/>
  </si>
  <si>
    <t>高校</t>
    <phoneticPr fontId="1" type="noConversion"/>
  </si>
  <si>
    <t>中科大智慧校园</t>
    <phoneticPr fontId="1" type="noConversion"/>
  </si>
  <si>
    <t>安徽</t>
    <phoneticPr fontId="1" type="noConversion"/>
  </si>
  <si>
    <t>子公司</t>
    <phoneticPr fontId="1" type="noConversion"/>
  </si>
  <si>
    <t>西安工程大学</t>
  </si>
  <si>
    <t>大数据典型应用服务采购项目（第二次）</t>
  </si>
  <si>
    <t>某军校</t>
    <phoneticPr fontId="1" type="noConversion"/>
  </si>
  <si>
    <t>军警</t>
    <phoneticPr fontId="1" type="noConversion"/>
  </si>
  <si>
    <t>聊城第三中学新建校区智慧校园建设项目</t>
    <phoneticPr fontId="1" type="noConversion"/>
  </si>
  <si>
    <t>聊城第三中学</t>
    <phoneticPr fontId="1" type="noConversion"/>
  </si>
  <si>
    <t>数据资源体系服务采购项目</t>
    <phoneticPr fontId="1" type="noConversion"/>
  </si>
  <si>
    <t>中广核贝谷科技有限公司名义中标</t>
    <phoneticPr fontId="1" type="noConversion"/>
  </si>
  <si>
    <t>农业银行嘉兴经济开发区支行与嘉兴大学银校合作项目</t>
    <phoneticPr fontId="1" type="noConversion"/>
  </si>
  <si>
    <t>10、向四川正元魏新奇输出智慧餐厅、智慧食安以及包括公司介绍、产品体系介绍的PPT方案；（胡启灏）</t>
  </si>
  <si>
    <t>11、支持河北机电职业技术学院一卡通项目投标工作，完成并提交投标文件终稿，目前还在等待中标结果；（郑小勇）</t>
    <phoneticPr fontId="1" type="noConversion"/>
  </si>
  <si>
    <t>19、厦大马来校区对接协调，厦大申请资金，暂不确定开发（25年维保费用及个性化开发费用催收，现场已提交申请）；（邱春红）</t>
  </si>
  <si>
    <t>1、调整河南省委建行审批材料，金融相关属性论证会支撑，并对定制化模块对接产品进行开发工作评估；（胡启灏、李靖翔）</t>
    <phoneticPr fontId="1" type="noConversion"/>
  </si>
  <si>
    <t>2、调整衢州教育局招标相关材料；（胡启灏、李靖翔）</t>
    <phoneticPr fontId="1" type="noConversion"/>
  </si>
  <si>
    <t>3、北交大威海、大连海事咨询事宜线上沟通；（李靖翔）</t>
    <phoneticPr fontId="1" type="noConversion"/>
  </si>
  <si>
    <t>4、北京林业大学窗帘更换对接方案、计划沟通协调等；（张靖平）</t>
    <phoneticPr fontId="1" type="noConversion"/>
  </si>
  <si>
    <t>5、北化工智慧学工项目汇报材料编写，出差汇报，项目招标参数，预算100万；（张靖平）</t>
    <phoneticPr fontId="1" type="noConversion"/>
  </si>
  <si>
    <t>6、烟台大学数字孪生交流；（张靖平）</t>
    <phoneticPr fontId="1" type="noConversion"/>
  </si>
  <si>
    <t>烟台大学数字孪生</t>
    <phoneticPr fontId="1" type="noConversion"/>
  </si>
  <si>
    <t>烟台大学</t>
    <phoneticPr fontId="1" type="noConversion"/>
  </si>
  <si>
    <t>7、西安科技大学物联清单配合；（张靖平）</t>
    <phoneticPr fontId="1" type="noConversion"/>
  </si>
  <si>
    <t>西安科技大学物联</t>
    <phoneticPr fontId="1" type="noConversion"/>
  </si>
  <si>
    <t>8、国网电力华云水澄大厦项目、湖州电力绿智食堂改造项目、浙江省电力绿智食堂项目、福建省电力绿智食堂项目；（潘燕忠）</t>
    <phoneticPr fontId="1" type="noConversion"/>
  </si>
  <si>
    <t>湖州电力绿智食堂改造项目</t>
    <phoneticPr fontId="1" type="noConversion"/>
  </si>
  <si>
    <t>国网电力华云水澄大厦项目</t>
    <phoneticPr fontId="1" type="noConversion"/>
  </si>
  <si>
    <t>浙江省电力绿智食堂项目</t>
    <phoneticPr fontId="1" type="noConversion"/>
  </si>
  <si>
    <t>福建省电力绿智食堂项目</t>
    <phoneticPr fontId="1" type="noConversion"/>
  </si>
  <si>
    <t>17、中国石油大学（北京）一卡通项目；（李叔平）</t>
    <phoneticPr fontId="1" type="noConversion"/>
  </si>
  <si>
    <t>12、出差北京，支持中国石油大学业财一体化方案汇报交流；（郑小勇、李叔平）</t>
    <phoneticPr fontId="1" type="noConversion"/>
  </si>
  <si>
    <t>中国石油大学业财一体化</t>
    <phoneticPr fontId="1" type="noConversion"/>
  </si>
  <si>
    <t>13、支持上海财经大学一卡通项目融合建设方案汇报和交流；（郑小勇）</t>
    <phoneticPr fontId="1" type="noConversion"/>
  </si>
  <si>
    <t>上海财经大学一卡通</t>
    <phoneticPr fontId="1" type="noConversion"/>
  </si>
  <si>
    <t>14、北京林业大学新校区一卡通招标参数协助修改（新开普控标参数）；（杜辉）</t>
    <phoneticPr fontId="1" type="noConversion"/>
  </si>
  <si>
    <t>北京林业大学雄安校区一卡通项目</t>
    <phoneticPr fontId="1" type="noConversion"/>
  </si>
  <si>
    <t>15、湖南省直属机关互通互联智慧餐厅项目；（李叔平）</t>
    <phoneticPr fontId="1" type="noConversion"/>
  </si>
  <si>
    <t>16、青岛科技大学一卡通项目；（李叔平）</t>
    <phoneticPr fontId="1" type="noConversion"/>
  </si>
  <si>
    <t>18、哈尔滨科技职业技术学院一卡通项目投标文件编制；（齐益军）</t>
    <phoneticPr fontId="1" type="noConversion"/>
  </si>
  <si>
    <t>一卡通项目投标文件编制</t>
    <phoneticPr fontId="1" type="noConversion"/>
  </si>
  <si>
    <t>日常对接</t>
    <phoneticPr fontId="1" type="noConversion"/>
  </si>
  <si>
    <t>9、根据中行浙江省行意见修改衢州教育局二期项目评分标准相关内容；（胡启灏）</t>
    <phoneticPr fontId="1" type="noConversion"/>
  </si>
  <si>
    <t>5、完成河南省委&amp;建行项目软件部分产品采购询价清单的修改调整；根据省行机构部指导意见，一是对每个建设模块的金融相关性进行详细阐述，二是对项目概述进行重新梳理，需要形成专门给领导看的版本以及附带更详细介绍的版本；（胡启灏）</t>
    <phoneticPr fontId="1" type="noConversion"/>
  </si>
  <si>
    <t>6、国网电力，跟进浙江省电力绿智食堂项目、支撑福建省电力绿智食堂项目；（潘燕忠）</t>
    <phoneticPr fontId="1" type="noConversion"/>
  </si>
  <si>
    <t>20、南京师范退换货设备跟进（进度缓慢）；（邱春红）</t>
    <phoneticPr fontId="1" type="noConversion"/>
  </si>
  <si>
    <t>7、中国人民银行浙江省分行关于数币设备演示环境调试工作（商户账号存在问题，下周协调完成）；（邱春红）</t>
    <phoneticPr fontId="1" type="noConversion"/>
  </si>
  <si>
    <t>宁波-25-89</t>
  </si>
  <si>
    <t>两个合同：杭州-25-181合同额152808.18，AI结算台175900未归档</t>
    <phoneticPr fontId="1" type="noConversion"/>
  </si>
  <si>
    <t>放弃</t>
    <phoneticPr fontId="1" type="noConversion"/>
  </si>
  <si>
    <t>杜辉、邱春红</t>
    <phoneticPr fontId="1" type="noConversion"/>
  </si>
  <si>
    <t>1、电子科技大学问题和工作清单编写;（张靖平）</t>
    <phoneticPr fontId="1" type="noConversion"/>
  </si>
  <si>
    <t>电子科技大学问题和工作清单编写</t>
    <phoneticPr fontId="1" type="noConversion"/>
  </si>
  <si>
    <t>2、温州医科大物联试点事宜实施推进；（张靖平）</t>
    <phoneticPr fontId="1" type="noConversion"/>
  </si>
  <si>
    <t>3、北交大IOC二期验收事宜推进；（张靖平）</t>
    <phoneticPr fontId="1" type="noConversion"/>
  </si>
  <si>
    <t>4、北化工学工思政项目资源协调；（张靖平）</t>
    <phoneticPr fontId="1" type="noConversion"/>
  </si>
  <si>
    <t>8、山西大数据产业发展有限公司代入围工行智慧校园服务项目；（李叔平）</t>
    <phoneticPr fontId="1" type="noConversion"/>
  </si>
  <si>
    <t>山西大数据产业发展有限公司</t>
  </si>
  <si>
    <t>山西</t>
    <phoneticPr fontId="1" type="noConversion"/>
  </si>
  <si>
    <t>省外</t>
    <phoneticPr fontId="1" type="noConversion"/>
  </si>
  <si>
    <t>9、湖北文理学院一卡通项目；（李叔平）</t>
    <phoneticPr fontId="1" type="noConversion"/>
  </si>
  <si>
    <t>10、支持上海财经大学一卡通项目，修改和提交上海财大融合服务建设方案；（郑小勇）</t>
    <phoneticPr fontId="1" type="noConversion"/>
  </si>
  <si>
    <t>11、支持济南职业学院一卡通项目，协助审核一卡通建设方案；（郑小勇）</t>
    <phoneticPr fontId="1" type="noConversion"/>
  </si>
  <si>
    <t>烟台大学数字孪生交流</t>
    <phoneticPr fontId="1" type="noConversion"/>
  </si>
  <si>
    <t>西安科技大学</t>
    <phoneticPr fontId="1" type="noConversion"/>
  </si>
  <si>
    <t>西安科技大学物联清单配合</t>
    <phoneticPr fontId="1" type="noConversion"/>
  </si>
  <si>
    <t>支持中国石油大学业财一体化方案汇报交流</t>
    <phoneticPr fontId="1" type="noConversion"/>
  </si>
  <si>
    <t>湖南省直属机关互通互联智慧餐厅项目</t>
    <phoneticPr fontId="1" type="noConversion"/>
  </si>
  <si>
    <t>丽水-25-27、丽水-25-28</t>
    <phoneticPr fontId="1" type="noConversion"/>
  </si>
  <si>
    <t>3、展厅物联展区设备清单整理；（张靖平）</t>
  </si>
  <si>
    <t>12、完成北京K12智慧食堂全场景解决方案PPT方案；（胡启灏）</t>
  </si>
  <si>
    <t>13、协同北京办杨飞、坚果共同完成北京中学（本部）、首都师范大学附属中学朝阳学校两个样板校的餐厅、后厨现场调研，并向区教委、学校方进行方案汇报、需求沟通；（胡启灏）</t>
  </si>
  <si>
    <t>14、协同北京办、坚果、麦狐、后勤、产品共同对实际调研需求进行线上沟通，完成北京中学智慧食堂全场景解决方案、首师大附中朝阳学校智慧食堂解决方案两个针对性PPT方案的初稿和二次修改稿；（胡启灏）；</t>
  </si>
  <si>
    <t>21、国网电力，本周出差至福建分公司支撑福建省电力绿智食堂项目、跟进浙江省电力绿智食堂项目、支撑桐庐电力绿智食堂改造项目、支撑浙江省物资电力绿智食堂改造项目；（潘燕忠）</t>
  </si>
  <si>
    <t>2026年</t>
    <phoneticPr fontId="1" type="noConversion"/>
  </si>
  <si>
    <t>1、山东体育学院公寓物联清单和方案编写；（张靖平）</t>
    <phoneticPr fontId="1" type="noConversion"/>
  </si>
  <si>
    <t>山东体育学院</t>
    <phoneticPr fontId="1" type="noConversion"/>
  </si>
  <si>
    <t>张靖平</t>
    <phoneticPr fontId="1" type="noConversion"/>
  </si>
  <si>
    <t>山东体育学院公寓物联</t>
    <phoneticPr fontId="1" type="noConversion"/>
  </si>
  <si>
    <t>山西大数据产业发展有限公司代入围工行智慧校园服务项目</t>
    <phoneticPr fontId="1" type="noConversion"/>
  </si>
  <si>
    <t>2、三亚学院办公楼需求沟通，方案ppt和清单整理；（张靖平）</t>
    <phoneticPr fontId="1" type="noConversion"/>
  </si>
  <si>
    <t>三亚学院</t>
  </si>
  <si>
    <t>海南</t>
    <phoneticPr fontId="1" type="noConversion"/>
  </si>
  <si>
    <t>省外</t>
    <phoneticPr fontId="1" type="noConversion"/>
  </si>
  <si>
    <t>三亚学院办公楼</t>
  </si>
  <si>
    <t>4、山东外事楼道空调和照明控制方案确认；（张靖平）</t>
    <phoneticPr fontId="1" type="noConversion"/>
  </si>
  <si>
    <t>山东大学威海校区</t>
  </si>
  <si>
    <t>5、山大威海校区图书馆物联汇报PPT编写；（张靖平）</t>
    <phoneticPr fontId="1" type="noConversion"/>
  </si>
  <si>
    <t>山大威海校区图书馆物联</t>
    <phoneticPr fontId="1" type="noConversion"/>
  </si>
  <si>
    <t>6、北京化工大学招标参数核对调整；（张靖平）</t>
    <phoneticPr fontId="1" type="noConversion"/>
  </si>
  <si>
    <t>7、福建卫生职业技术学院银校一卡通项目；（李叔平）</t>
    <phoneticPr fontId="1" type="noConversion"/>
  </si>
  <si>
    <t>郑小勇、李叔平</t>
    <phoneticPr fontId="1" type="noConversion"/>
  </si>
  <si>
    <t>8、中国传媒大学一卡通项目；（李叔平）</t>
    <phoneticPr fontId="1" type="noConversion"/>
  </si>
  <si>
    <t>跟进</t>
    <phoneticPr fontId="1" type="noConversion"/>
  </si>
  <si>
    <t>9、湖北文理智慧校园项目；（李叔平）</t>
    <phoneticPr fontId="1" type="noConversion"/>
  </si>
  <si>
    <t>10、济南职院智慧校园项目；（李叔平）</t>
    <phoneticPr fontId="1" type="noConversion"/>
  </si>
  <si>
    <t>11、河南机关事务管理局智慧院区项目支持跟进；（李叔平）</t>
    <phoneticPr fontId="1" type="noConversion"/>
  </si>
  <si>
    <t>日常对接</t>
    <phoneticPr fontId="1" type="noConversion"/>
  </si>
  <si>
    <t>15、完成河南省委&amp;建行项目的金融相关性审核对接，以及金融相关性描述修改工作，完成建行硬件询价清单初稿；（胡启灏、李靖翔）</t>
    <phoneticPr fontId="1" type="noConversion"/>
  </si>
  <si>
    <t>16、河北机电职业技术学院和台州中心医院项目后续追踪；（郑小勇、施政）</t>
    <phoneticPr fontId="1" type="noConversion"/>
  </si>
  <si>
    <t>后续追踪</t>
    <phoneticPr fontId="1" type="noConversion"/>
  </si>
  <si>
    <t>杜辉、郑小勇、邱春红、施政</t>
    <phoneticPr fontId="1" type="noConversion"/>
  </si>
  <si>
    <t>浙江移动218万中标，后续追踪</t>
    <phoneticPr fontId="1" type="noConversion"/>
  </si>
  <si>
    <t>17、重庆师范大学招标参数核对及沟通调整 （一卡通项目）（杜辉）</t>
    <phoneticPr fontId="1" type="noConversion"/>
  </si>
  <si>
    <t>重庆师范大学</t>
  </si>
  <si>
    <t>杜辉</t>
    <phoneticPr fontId="1" type="noConversion"/>
  </si>
  <si>
    <t>重庆师范大学一卡通项目</t>
    <phoneticPr fontId="1" type="noConversion"/>
  </si>
  <si>
    <t>18、支持广西移动智慧餐厅信创改造项目，支持编辑信创项目申报材料，协调产品部编写与研发对接的项目材料。（郑小勇）</t>
    <phoneticPr fontId="1" type="noConversion"/>
  </si>
  <si>
    <t>支持广西移动智慧餐厅信创改造项目，支持编辑信创项目申报材料，协调产品部编写与研发对接的项目材料</t>
    <phoneticPr fontId="1" type="noConversion"/>
  </si>
  <si>
    <t>19、支持上海财经大学一卡通项目，提供PPT方案材料；（郑小勇）</t>
    <phoneticPr fontId="1" type="noConversion"/>
  </si>
  <si>
    <t>支持上海财经大学一卡通项目，提供PPT方案材料</t>
    <phoneticPr fontId="1" type="noConversion"/>
  </si>
  <si>
    <t>20、周末支持福建职业技术学院一卡通项目招标参数协助；（郑小勇）</t>
    <phoneticPr fontId="1" type="noConversion"/>
  </si>
  <si>
    <t>22、大连海事大学调研问卷分析与下一步工作任务拆解材料编制；（李靖翔）</t>
    <phoneticPr fontId="1" type="noConversion"/>
  </si>
  <si>
    <t>大连海事大学调研问卷分析与下一步工作任务拆解材料编制</t>
    <phoneticPr fontId="1" type="noConversion"/>
  </si>
  <si>
    <t>23、中石油大学校内上会材料编制；（李靖翔）</t>
    <phoneticPr fontId="1" type="noConversion"/>
  </si>
  <si>
    <t>中石油大学校内上会材料编制</t>
    <phoneticPr fontId="1" type="noConversion"/>
  </si>
  <si>
    <t>杭州-25-188</t>
  </si>
  <si>
    <r>
      <t>云南-25-41(</t>
    </r>
    <r>
      <rPr>
        <sz val="10.5"/>
        <color rgb="FFFF0000"/>
        <rFont val="微软雅黑"/>
        <family val="2"/>
        <charset val="134"/>
      </rPr>
      <t>联创做的，控标项目，实际不交付</t>
    </r>
    <r>
      <rPr>
        <sz val="10.5"/>
        <color theme="1"/>
        <rFont val="微软雅黑"/>
        <family val="2"/>
        <charset val="134"/>
      </rPr>
      <t>)</t>
    </r>
    <phoneticPr fontId="1" type="noConversion"/>
  </si>
  <si>
    <r>
      <t xml:space="preserve">北京龙华顺成厨房675.23万，北京金丽厨厨房675.81万，北京中天白云厨房678.35万
</t>
    </r>
    <r>
      <rPr>
        <sz val="10.5"/>
        <color rgb="FFFF0000"/>
        <rFont val="微软雅黑"/>
        <family val="2"/>
        <charset val="134"/>
      </rPr>
      <t>这个截止到26.1.16未看到合同</t>
    </r>
    <phoneticPr fontId="1" type="noConversion"/>
  </si>
  <si>
    <t>这个截止到26.1.16未看到合同</t>
  </si>
  <si>
    <t>这个截止到26.1.16未看到合同</t>
    <phoneticPr fontId="1" type="noConversion"/>
  </si>
  <si>
    <r>
      <t xml:space="preserve">两个标中标100万，IOC60万
</t>
    </r>
    <r>
      <rPr>
        <sz val="10.5"/>
        <color rgb="FFFF0000"/>
        <rFont val="微软雅黑"/>
        <family val="2"/>
        <charset val="134"/>
      </rPr>
      <t>这个截止到26.1.16未看到合同</t>
    </r>
    <phoneticPr fontId="1" type="noConversion"/>
  </si>
  <si>
    <t>5、山东交通学院招标参数审核沟通（泛一卡通项目）；（杜辉）</t>
  </si>
  <si>
    <t>1、温州医科大学试点支撑；（朱嘉劼）</t>
    <phoneticPr fontId="1" type="noConversion"/>
  </si>
  <si>
    <t>山东体育学院公寓物联清单和方案编写</t>
  </si>
  <si>
    <t>三亚学院办公楼需求沟通，方案ppt和清单整理</t>
  </si>
  <si>
    <t>山大威海校区图书馆物联汇报PPT编写</t>
  </si>
  <si>
    <t>重庆师范大学招标参数核对及沟通调整 （一卡通项目）</t>
  </si>
  <si>
    <t>2026年</t>
  </si>
  <si>
    <t>2、烟台黄金试点支撑；（朱嘉劼）</t>
    <phoneticPr fontId="1" type="noConversion"/>
  </si>
  <si>
    <t>3、山东外事演示文档；（朱嘉劼）</t>
    <phoneticPr fontId="1" type="noConversion"/>
  </si>
  <si>
    <t>4、福建卫生职业技术学院招标文件审核修改（泛一卡通项目）；（杜辉）</t>
    <phoneticPr fontId="1" type="noConversion"/>
  </si>
  <si>
    <t>福建卫生职业技术学院招标文件审核修改（泛一卡通项目）</t>
    <phoneticPr fontId="1" type="noConversion"/>
  </si>
  <si>
    <t>郑小勇、李叔平、杜辉</t>
    <phoneticPr fontId="1" type="noConversion"/>
  </si>
  <si>
    <t>邱春红、郑小勇</t>
  </si>
  <si>
    <t>市场部、邱春红</t>
  </si>
  <si>
    <t>李叔平、郑小勇、施政</t>
  </si>
  <si>
    <t>杜辉、李叔平</t>
  </si>
  <si>
    <t>齐益军、李叔平</t>
  </si>
  <si>
    <t>郑小勇、齐益军</t>
  </si>
  <si>
    <t>杜辉、郑小勇</t>
  </si>
  <si>
    <t>齐益军、李叔平、邱春红</t>
  </si>
  <si>
    <t>李叔平、郑小勇</t>
  </si>
  <si>
    <t>李叔平、杜辉</t>
  </si>
  <si>
    <t>张靖平、朱嘉颉</t>
  </si>
  <si>
    <t>齐益军、胡启灏</t>
  </si>
  <si>
    <t>李叔平、李靖翔</t>
  </si>
  <si>
    <t>齐益军、李靖翔</t>
  </si>
  <si>
    <t>6、国网电力继续跟进浙江省电力绿智食堂项目，湖州电力绿智食堂改造项目，浙江省物资电力绿智食堂改造项目，福建省电力绿智食堂项目；（潘燕忠）</t>
    <phoneticPr fontId="1" type="noConversion"/>
  </si>
  <si>
    <t>7、北交大威海进场调研，校方安排效率低，无太多成果。最后转化一个驾驶舱+轻应用的项目，已同步古格尔和天高；（李靖翔）</t>
    <phoneticPr fontId="1" type="noConversion"/>
  </si>
  <si>
    <t>8、衢州教育局中行合作，中行上会材料讨论，对接衢州中行对衢州教育局智慧食堂2.0项目的招标事宜进行沟通，并根据中行意见修改招标参数；（李靖翔、胡启灏）</t>
    <phoneticPr fontId="1" type="noConversion"/>
  </si>
  <si>
    <t>5、河南机关事务管理局项目，建设银行郑州直属支行完成对省行金科部、机构部立项材料共约16份材料整理，河南省委农行清单调整；修改农行项目清单，增加家校共育、幼儿园资产经费管理、数据安全模块；（胡启灏、李靖翔）</t>
    <phoneticPr fontId="1" type="noConversion"/>
  </si>
  <si>
    <t>9、河北地质大学新校区智慧校园三期技术参数编制；（齐益军）</t>
    <phoneticPr fontId="1" type="noConversion"/>
  </si>
  <si>
    <t>河北地质大学</t>
  </si>
  <si>
    <t>河北地质大学新校区智慧校园三期</t>
    <phoneticPr fontId="1" type="noConversion"/>
  </si>
  <si>
    <t>10、香港理工大学深圳高管培训学院智慧校园视频会议沟通及智慧校园建设方案、项目预算讨论，确定下周二提交建设方案和项目预算；（齐益军）</t>
    <phoneticPr fontId="1" type="noConversion"/>
  </si>
  <si>
    <t>香港理工大学深圳高管培训学院</t>
  </si>
  <si>
    <t>深圳</t>
    <phoneticPr fontId="1" type="noConversion"/>
  </si>
  <si>
    <t>省外</t>
    <phoneticPr fontId="1" type="noConversion"/>
  </si>
  <si>
    <t>香港理工大学深圳高管培训学院智慧校园</t>
    <phoneticPr fontId="1" type="noConversion"/>
  </si>
  <si>
    <t>11、湖南理工大学技术文件编制；（施政）</t>
    <phoneticPr fontId="1" type="noConversion"/>
  </si>
  <si>
    <t>湖南理工大学</t>
  </si>
  <si>
    <t>湖南理工大学</t>
    <phoneticPr fontId="1" type="noConversion"/>
  </si>
  <si>
    <t>施政</t>
    <phoneticPr fontId="1" type="noConversion"/>
  </si>
  <si>
    <t>湖南</t>
    <phoneticPr fontId="1" type="noConversion"/>
  </si>
  <si>
    <t>12、支持湖北文理学院一卡通系统及支撑平台建设项目，编写投标文件（副标）2份；（郑小勇）</t>
    <phoneticPr fontId="1" type="noConversion"/>
  </si>
  <si>
    <t>支持湖北文理学院一卡通系统及支撑平台建设项目，编写投标文件（副标）2份</t>
    <phoneticPr fontId="1" type="noConversion"/>
  </si>
  <si>
    <t>李靖翔、李叔平、郑小勇</t>
    <phoneticPr fontId="1" type="noConversion"/>
  </si>
  <si>
    <t>13、支持中国人民解放军海军航空大学信创项目，支持提供信创改造方案和报价支持；（郑小勇）</t>
    <phoneticPr fontId="1" type="noConversion"/>
  </si>
  <si>
    <t>中国人民解放军海军航空大学</t>
  </si>
  <si>
    <t>郑小勇</t>
    <phoneticPr fontId="1" type="noConversion"/>
  </si>
  <si>
    <t>李叔平、郑小勇</t>
    <phoneticPr fontId="1" type="noConversion"/>
  </si>
  <si>
    <t>14、浙江中医药大学一码通系统建设方案编写，计划下周提交给用户初稿；（郑小勇）</t>
    <phoneticPr fontId="1" type="noConversion"/>
  </si>
  <si>
    <t>15、支持威海职业技术学院身份核验平台建设项目，下周线上和用户进行方案宣讲和交流；（郑小勇）</t>
    <phoneticPr fontId="1" type="noConversion"/>
  </si>
  <si>
    <t>16、山西医科大学校园一卡通入围项目演示环境协调，遗留部分问题（以山西大数据公司的名义入围）；（邱春红）</t>
    <phoneticPr fontId="1" type="noConversion"/>
  </si>
  <si>
    <t>齐益军、邱春红</t>
    <phoneticPr fontId="1" type="noConversion"/>
  </si>
  <si>
    <t>北京K12</t>
    <phoneticPr fontId="1" type="noConversion"/>
  </si>
  <si>
    <t>K12</t>
    <phoneticPr fontId="1" type="noConversion"/>
  </si>
  <si>
    <t>17、完成北京中学、首师大附中朝阳学校的二次汇报，并根据学校意见落实最终稿PPT方案，完成北京市广渠门中学智慧食堂整体解决方案PPT方案；（胡启灏）</t>
    <phoneticPr fontId="1" type="noConversion"/>
  </si>
  <si>
    <t>北京</t>
    <phoneticPr fontId="1" type="noConversion"/>
  </si>
  <si>
    <t>胡启灏</t>
    <phoneticPr fontId="1" type="noConversion"/>
  </si>
  <si>
    <t>18、大连海事大学学工出差交流、政研部信息化调研；（张靖平）</t>
    <phoneticPr fontId="1" type="noConversion"/>
  </si>
  <si>
    <t>大连海事大学学工出差交流、政研部信息化调研</t>
    <phoneticPr fontId="1" type="noConversion"/>
  </si>
  <si>
    <t>19、北京林业大学雄安校区会议室问题沟通、有线中控验证测试；（张靖平）</t>
    <phoneticPr fontId="1" type="noConversion"/>
  </si>
  <si>
    <t>北京林业大学雄安校区会议室问题沟通、有线中控验证测试</t>
    <phoneticPr fontId="1" type="noConversion"/>
  </si>
  <si>
    <t>20、北京航空大学后勤人员管理交流；（张靖平）</t>
    <phoneticPr fontId="1" type="noConversion"/>
  </si>
  <si>
    <t>北京航空航天大学</t>
    <phoneticPr fontId="1" type="noConversion"/>
  </si>
  <si>
    <t>21、济南职业学院新校区项目出差物联平台和数字孪生平台演示交流；（张靖平）</t>
    <phoneticPr fontId="1" type="noConversion"/>
  </si>
  <si>
    <t>济南职业学院新校区项目出差物联平台和数字孪生平台演示交流</t>
    <phoneticPr fontId="1" type="noConversion"/>
  </si>
  <si>
    <t>22、黄冈师范学院空调管理方案支持；（张靖平）</t>
    <phoneticPr fontId="1" type="noConversion"/>
  </si>
  <si>
    <t>黄冈师范学院空调</t>
    <phoneticPr fontId="1" type="noConversion"/>
  </si>
  <si>
    <t>17、杭师大系统架构材料编写，物联一屏概览方案拉通；（张靖平）</t>
  </si>
  <si>
    <t>1、根据河南省建行的审核意见，修改调整河南省委智慧院区综合服务平台方案资料（建行项目），主要针对询价材料修改调整；（胡启灏）</t>
    <phoneticPr fontId="1" type="noConversion"/>
  </si>
  <si>
    <t>2、修改河南省委数智院落项目（农行项目）建设清单，新增省直机关业财一体化平台，准备询价材料；（胡启灏、李靖翔）</t>
    <phoneticPr fontId="1" type="noConversion"/>
  </si>
  <si>
    <t>3、协同产品、研发沟通确认北京中学样板校试点的智慧餐厅技术方案，并根据工作量评估向整理方案选型对比材料，已同步给北京办事处杨飞；（胡启灏）</t>
    <phoneticPr fontId="1" type="noConversion"/>
  </si>
  <si>
    <t>协同产品、研发沟通确认北京中学样板校试点的智慧餐厅技术方案，并根据工作量评估向整理方案选型对比材料，已同步给北京办事处杨飞</t>
    <phoneticPr fontId="1" type="noConversion"/>
  </si>
  <si>
    <t>4、根据中行意见，修改衢州教育局智慧食堂2.0项目的招标参数标星项；（胡启灏）</t>
    <phoneticPr fontId="1" type="noConversion"/>
  </si>
  <si>
    <t>5、绿智食堂支撑余杭区电力绿智食堂改造项目、支撑福建省电力绿智食堂项目；（潘燕忠）</t>
    <phoneticPr fontId="1" type="noConversion"/>
  </si>
  <si>
    <t>余杭区电力绿智食堂</t>
    <phoneticPr fontId="1" type="noConversion"/>
  </si>
  <si>
    <t>余杭区电力</t>
    <phoneticPr fontId="1" type="noConversion"/>
  </si>
  <si>
    <t>6、温州医科大学仁济学院试点现场支撑（设备调试，平台配置，和老师汇报）；（朱嘉劼）</t>
    <phoneticPr fontId="1" type="noConversion"/>
  </si>
  <si>
    <t>7、威海职业技术学院身份核验平台项目支持，组织线上会议宣讲智慧校园数字身份管理及应用一体化解决方案，并和用户进行用户需求沟通。（郑小勇）</t>
    <phoneticPr fontId="1" type="noConversion"/>
  </si>
  <si>
    <t>威海职业技术学院身份核验平台项目支持，组织线上会议宣讲智慧校园数字身份管理及应用一体化解决方案，并和用户进行用户需求沟通</t>
    <phoneticPr fontId="1" type="noConversion"/>
  </si>
  <si>
    <t>8、浙江中医药大学校园一码通建设方案撰写，本周已提交给学校老师；（郑小勇）</t>
    <phoneticPr fontId="1" type="noConversion"/>
  </si>
  <si>
    <t>浙江中医药大学校园一码通建设方案撰写</t>
    <phoneticPr fontId="1" type="noConversion"/>
  </si>
  <si>
    <t>9、深圳理工大学一卡通项目支持，撰写一卡通系统招标参数文件，后续下周还要继续和老师线上沟通跟进；（郑小勇）</t>
    <phoneticPr fontId="1" type="noConversion"/>
  </si>
  <si>
    <t>深圳理工大学一卡通</t>
    <phoneticPr fontId="1" type="noConversion"/>
  </si>
  <si>
    <t>河北地质大学新校区智慧校园三期技术参数编制</t>
  </si>
  <si>
    <t>湖南理工大学技术文件编制</t>
  </si>
  <si>
    <t>支持中国人民解放军海军航空大学信创项目，支持提供信创改造方案和报价支持；</t>
  </si>
  <si>
    <t>北京航空大学后勤人员管理交流</t>
  </si>
  <si>
    <t>黄冈师范学院空调管理方案支持</t>
  </si>
  <si>
    <t>深圳理工大学</t>
    <phoneticPr fontId="1" type="noConversion"/>
  </si>
  <si>
    <t>10、香港理工大学深圳高管培训学院智慧校园项目相关工作，包括参与视频会议讨论，解决方案及项目预算策划和讨论，演示内容策划和讨论，已经过一轮远程演示，并提交一稿解决方案，正根据用户意见修改解决方案；(齐益军)</t>
    <phoneticPr fontId="1" type="noConversion"/>
  </si>
  <si>
    <t>11、山西林业职业技术学院智慧校园解决方案策划，预计下周交付解决方案和分期项目预算；（齐益军）</t>
    <phoneticPr fontId="1" type="noConversion"/>
  </si>
  <si>
    <t>山西林业职业技术学院</t>
  </si>
  <si>
    <t>山西林业职业技术学院智慧校园</t>
    <phoneticPr fontId="1" type="noConversion"/>
  </si>
  <si>
    <t>山西</t>
    <phoneticPr fontId="1" type="noConversion"/>
  </si>
  <si>
    <t>省外</t>
    <phoneticPr fontId="1" type="noConversion"/>
  </si>
  <si>
    <t>12、和田学院智慧校园解决方案策划，预计下周提交解决方案及项目预算；（齐益军）</t>
    <phoneticPr fontId="1" type="noConversion"/>
  </si>
  <si>
    <t>新疆和田学院</t>
    <phoneticPr fontId="1" type="noConversion"/>
  </si>
  <si>
    <t>新疆和田学院智慧校园</t>
    <phoneticPr fontId="1" type="noConversion"/>
  </si>
  <si>
    <t>新疆</t>
    <phoneticPr fontId="1" type="noConversion"/>
  </si>
  <si>
    <t>13、完成北交大威海驾驶舱，轻应用等几个商机的交流，边界敲定，报价提供。等待校方决策。实施由古格尔覆盖；（李靖翔）</t>
    <phoneticPr fontId="1" type="noConversion"/>
  </si>
  <si>
    <t>完成北交大威海驾驶舱，轻应用等几个商机的交流，边界敲定，报价提供。等待校方决策。实施由古格尔覆盖</t>
    <phoneticPr fontId="1" type="noConversion"/>
  </si>
  <si>
    <t>14、湖南大众传媒职业学院，AI+学生预警商机沟通，并初步提供清单报价；（李靖翔）</t>
    <phoneticPr fontId="1" type="noConversion"/>
  </si>
  <si>
    <t>李靖翔</t>
    <phoneticPr fontId="1" type="noConversion"/>
  </si>
  <si>
    <t>智慧思政</t>
    <phoneticPr fontId="1" type="noConversion"/>
  </si>
  <si>
    <t>湖南</t>
    <phoneticPr fontId="1" type="noConversion"/>
  </si>
  <si>
    <t>湖南大众传媒职业技术学院</t>
    <phoneticPr fontId="1" type="noConversion"/>
  </si>
  <si>
    <t>湖南大众传媒职业技术学院思政</t>
    <phoneticPr fontId="1" type="noConversion"/>
  </si>
  <si>
    <t>15、北京林业大学招标参数复审（一卡通项目）；（杜辉）</t>
    <phoneticPr fontId="1" type="noConversion"/>
  </si>
  <si>
    <t>北京林业大学雄安校区</t>
    <phoneticPr fontId="1" type="noConversion"/>
  </si>
  <si>
    <t>北京林业大学招标参数复审（一卡通项目）</t>
    <phoneticPr fontId="1" type="noConversion"/>
  </si>
  <si>
    <t>16、西南交大场馆一体化运营项目预算；（张靖平）</t>
    <phoneticPr fontId="1" type="noConversion"/>
  </si>
  <si>
    <t>西南交通大学</t>
  </si>
  <si>
    <t>西南交大场馆一体化</t>
    <phoneticPr fontId="1" type="noConversion"/>
  </si>
  <si>
    <t>子公司</t>
    <phoneticPr fontId="1" type="noConversion"/>
  </si>
  <si>
    <t>四川</t>
    <phoneticPr fontId="1" type="noConversion"/>
  </si>
  <si>
    <t>18、大连海事物联平台一页汇报材料提供；（张靖平）</t>
    <phoneticPr fontId="1" type="noConversion"/>
  </si>
  <si>
    <t>大连海事物联平台一页汇报材料提供</t>
    <phoneticPr fontId="1" type="noConversion"/>
  </si>
  <si>
    <t>19、潜艇学院智慧食堂项目疑似串标澄清；（李叔平）</t>
    <phoneticPr fontId="1" type="noConversion"/>
  </si>
  <si>
    <t>潜艇学院智慧食堂项目</t>
    <phoneticPr fontId="1" type="noConversion"/>
  </si>
  <si>
    <t>2、协助鄂东办事处入围标书打印制作；（朱嘉劼）</t>
  </si>
  <si>
    <t>7、河南办事处物联方案培训；（张靖平）</t>
  </si>
  <si>
    <t>1、协助宁波办事处宁波北仑广电项目制作上传；（朱嘉劼）</t>
    <phoneticPr fontId="1" type="noConversion"/>
  </si>
  <si>
    <t>3、河南省机关事务管理局项目招标文件事务沟通；（李叔平）</t>
    <phoneticPr fontId="1" type="noConversion"/>
  </si>
  <si>
    <t>4、海军潜艇学院投标违规事务沟通；（李叔平）</t>
    <phoneticPr fontId="1" type="noConversion"/>
  </si>
  <si>
    <t>中国人民解放军海军潜艇学院</t>
    <phoneticPr fontId="1" type="noConversion"/>
  </si>
  <si>
    <t>海军潜艇学院投标违规事务沟通</t>
    <phoneticPr fontId="1" type="noConversion"/>
  </si>
  <si>
    <t>5、烟台黄金职业实施问题协调，远程准备演示，建设方案提供；（张靖平）</t>
    <phoneticPr fontId="1" type="noConversion"/>
  </si>
  <si>
    <t>6、杭州师范大学大学数字孪生清单；（张靖平）</t>
    <phoneticPr fontId="1" type="noConversion"/>
  </si>
  <si>
    <t>杭州师范大学大学数字孪生清单</t>
    <phoneticPr fontId="1" type="noConversion"/>
  </si>
  <si>
    <t>8、重庆工信二期方案支持；（张靖平）</t>
    <phoneticPr fontId="1" type="noConversion"/>
  </si>
  <si>
    <t>绿智食堂支撑余杭区电力绿智食堂改造项目</t>
  </si>
  <si>
    <t>山西林业职业技术学院智慧校园解决方案策划</t>
  </si>
  <si>
    <t>和田学院智慧校园解决方案策划</t>
  </si>
  <si>
    <t>湖南大众传媒职业学院，AI+学生预警商机沟通，并初步提供清单报价</t>
  </si>
  <si>
    <t>西南交大场馆一体化运营项目预算</t>
  </si>
  <si>
    <t>重庆</t>
    <phoneticPr fontId="1" type="noConversion"/>
  </si>
  <si>
    <t>省外</t>
    <phoneticPr fontId="1" type="noConversion"/>
  </si>
  <si>
    <t>重庆工信职业学院</t>
    <phoneticPr fontId="1" type="noConversion"/>
  </si>
  <si>
    <t>9、烟台蓬莱区空调方案提供；（张靖平）</t>
    <phoneticPr fontId="1" type="noConversion"/>
  </si>
  <si>
    <t>烟台蓬莱区空调</t>
    <phoneticPr fontId="1" type="noConversion"/>
  </si>
  <si>
    <t>烟台蓬莱区</t>
    <phoneticPr fontId="1" type="noConversion"/>
  </si>
  <si>
    <t>企业</t>
    <phoneticPr fontId="1" type="noConversion"/>
  </si>
  <si>
    <t>10、三峡大学智慧空间预约项目现场需求沟通，修改解决方案和配置清单；（杨秋菊）</t>
    <phoneticPr fontId="1" type="noConversion"/>
  </si>
  <si>
    <t>三峡大学</t>
  </si>
  <si>
    <t>三峡大学智慧空间</t>
    <phoneticPr fontId="1" type="noConversion"/>
  </si>
  <si>
    <t>高校</t>
    <phoneticPr fontId="1" type="noConversion"/>
  </si>
  <si>
    <t>杨秋菊</t>
    <phoneticPr fontId="1" type="noConversion"/>
  </si>
  <si>
    <t>11、山西大数据合作关于山西医科大学校园一卡通项目（工行入围）演示环境保障，周三完成投标，结果咱不明确；（邱春红）</t>
    <phoneticPr fontId="1" type="noConversion"/>
  </si>
  <si>
    <t>山西大数据合作关于山西医科大学校园一卡通项目（工行入围）演示环境保障，周三完成投标</t>
    <phoneticPr fontId="1" type="noConversion"/>
  </si>
  <si>
    <t>12、将河南省委建行项目的修改后材料，协同建行支行向省行汇报沟通和确认；（胡启灏）</t>
    <phoneticPr fontId="1" type="noConversion"/>
  </si>
  <si>
    <t>13、完成河南省委农行项目的询价工作，已将结果同步给农行；（胡启灏）</t>
    <phoneticPr fontId="1" type="noConversion"/>
  </si>
  <si>
    <t>14、香港理工大学深圳高管培训学院智慧校园项目线上交流及方案修订；（齐益军）</t>
    <phoneticPr fontId="1" type="noConversion"/>
  </si>
  <si>
    <t>香港理工大学深圳高管培训学院智慧校园项目线上交流及方案修订</t>
    <phoneticPr fontId="1" type="noConversion"/>
  </si>
  <si>
    <t>15、重庆人工智能学院智慧校园线上交流，并编制项目解决方案、实施计划和项目预算。（齐益军）</t>
    <phoneticPr fontId="1" type="noConversion"/>
  </si>
  <si>
    <t>重庆人工智能学院</t>
    <phoneticPr fontId="1" type="noConversion"/>
  </si>
  <si>
    <t>重庆人工智能学院智慧校园</t>
    <phoneticPr fontId="1" type="noConversion"/>
  </si>
  <si>
    <t>16、延安大学智慧一卡通项目支持申请，准备项目交流PPT方案，目前等待用户具体沟通时间；（郑小勇）</t>
    <phoneticPr fontId="1" type="noConversion"/>
  </si>
  <si>
    <t>延安大学</t>
    <phoneticPr fontId="1" type="noConversion"/>
  </si>
  <si>
    <t>郑小勇</t>
    <phoneticPr fontId="1" type="noConversion"/>
  </si>
  <si>
    <t>延安大学一卡通</t>
    <phoneticPr fontId="1" type="noConversion"/>
  </si>
  <si>
    <t>17、国网电力江省电力公司、泉州电力绿智食堂项目；（潘燕忠）</t>
    <phoneticPr fontId="1" type="noConversion"/>
  </si>
  <si>
    <t>国网电力江西省电力公司</t>
    <phoneticPr fontId="1" type="noConversion"/>
  </si>
  <si>
    <t>6、河北办事处金融采购系统项目标书打印封装工作；（施政）</t>
  </si>
  <si>
    <t>1、福州电力绿智食堂项目推进；（潘燕忠）</t>
    <phoneticPr fontId="1" type="noConversion"/>
  </si>
  <si>
    <t>2、支撑桐乡电力绿智食堂项目；（潘燕忠）</t>
    <phoneticPr fontId="1" type="noConversion"/>
  </si>
  <si>
    <t>3、延安大学新一代校园卡平台项目建设方案汇报会议；（郑小勇）</t>
    <phoneticPr fontId="1" type="noConversion"/>
  </si>
  <si>
    <t>4、北京化工大学智慧学工pb；（朱嘉劼、张靖平）</t>
    <phoneticPr fontId="1" type="noConversion"/>
  </si>
  <si>
    <t>5、重庆人工智能学院智慧校园项目设计方案；（齐益军）</t>
    <phoneticPr fontId="1" type="noConversion"/>
  </si>
  <si>
    <t>重庆人工智能学院智慧校园项目设计方案</t>
    <phoneticPr fontId="1" type="noConversion"/>
  </si>
  <si>
    <t>7、台州市路桥中等职业技术学校招标参数修改（公参版和控标版）；（杜辉）</t>
    <phoneticPr fontId="1" type="noConversion"/>
  </si>
  <si>
    <t>重庆工信二期方案支持</t>
  </si>
  <si>
    <t>烟台蓬莱区空调方案提供</t>
  </si>
  <si>
    <t>三峡大学智慧空间预约项目现场需求沟通，修改解决方案和配置清单</t>
  </si>
  <si>
    <t>台州市路桥中等职业技术学校</t>
  </si>
  <si>
    <t>台州市路桥中等职业技术学校</t>
    <phoneticPr fontId="1" type="noConversion"/>
  </si>
  <si>
    <t>K12</t>
  </si>
  <si>
    <t>台州</t>
    <phoneticPr fontId="1" type="noConversion"/>
  </si>
  <si>
    <t>省内</t>
    <phoneticPr fontId="1" type="noConversion"/>
  </si>
  <si>
    <t>省外</t>
    <phoneticPr fontId="1" type="noConversion"/>
  </si>
  <si>
    <t>陕西</t>
    <phoneticPr fontId="1" type="noConversion"/>
  </si>
  <si>
    <t>杜辉</t>
    <phoneticPr fontId="1" type="noConversion"/>
  </si>
  <si>
    <t>8、河南省委，农行清单调整;（李靖翔）</t>
    <phoneticPr fontId="1" type="noConversion"/>
  </si>
  <si>
    <t>9、河南省委，工行招标事宜协助；（李靖翔）</t>
    <phoneticPr fontId="1" type="noConversion"/>
  </si>
  <si>
    <t>江门职业技术学院</t>
  </si>
  <si>
    <t>广东</t>
    <phoneticPr fontId="1" type="noConversion"/>
  </si>
  <si>
    <t>江门职业技术学院一卡通</t>
    <phoneticPr fontId="1" type="noConversion"/>
  </si>
  <si>
    <t>李叔平</t>
    <phoneticPr fontId="1" type="noConversion"/>
  </si>
  <si>
    <t>10、江门职业技术学院一卡通；（李叔平）</t>
    <phoneticPr fontId="1" type="noConversion"/>
  </si>
  <si>
    <t>11、河南省机关事务管理局项目跟进；（李叔平）</t>
    <phoneticPr fontId="1" type="noConversion"/>
  </si>
  <si>
    <t>12、深圳医学科学院后勤项目配合远程交流，有部分数字孪生需求；（张靖平）</t>
    <phoneticPr fontId="1" type="noConversion"/>
  </si>
  <si>
    <t>深圳医学科学院</t>
  </si>
  <si>
    <t>深圳医学科学院后勤项目</t>
    <phoneticPr fontId="1" type="noConversion"/>
  </si>
  <si>
    <t>张靖平</t>
    <phoneticPr fontId="1" type="noConversion"/>
  </si>
  <si>
    <t>浙江农林大学</t>
    <phoneticPr fontId="1" type="noConversion"/>
  </si>
  <si>
    <t>杭州</t>
    <phoneticPr fontId="1" type="noConversion"/>
  </si>
  <si>
    <t>13、浙农林ai心理项目问题沟通，浙大合作研发推进；（张靖平）</t>
    <phoneticPr fontId="1" type="noConversion"/>
  </si>
  <si>
    <t>14、烟台黄金职业试点物联平台远程演示汇报；（张靖平）</t>
    <phoneticPr fontId="1" type="noConversion"/>
  </si>
  <si>
    <t>浙农林ai心理项目</t>
    <phoneticPr fontId="1" type="noConversion"/>
  </si>
  <si>
    <t>1、河南省政府项目投标；（市场部）</t>
    <phoneticPr fontId="1" type="noConversion"/>
  </si>
  <si>
    <t>2、修改河南省委&amp;建行项目《智慧院区综合服务平台》建设清单、建设方案等材料；</t>
    <phoneticPr fontId="1" type="noConversion"/>
  </si>
  <si>
    <t>3、北京化工学工项目标书完成；（张靖平）</t>
    <phoneticPr fontId="1" type="noConversion"/>
  </si>
  <si>
    <t>张靖平</t>
    <phoneticPr fontId="1" type="noConversion"/>
  </si>
  <si>
    <t>4、重庆工商物联清单；（张靖平）</t>
    <phoneticPr fontId="1" type="noConversion"/>
  </si>
  <si>
    <t>台州市路桥中等职业技术学校招标参数修改（公参版和控标版）</t>
  </si>
  <si>
    <t>江门职业技术学院一卡通</t>
  </si>
  <si>
    <t>浙农林ai心理项目问题沟通，浙大合作研发推进</t>
  </si>
  <si>
    <t>重庆工商大学物联项目</t>
    <phoneticPr fontId="1" type="noConversion"/>
  </si>
  <si>
    <t>5、支撑萧山电力绿智食堂项目；（潘燕忠）</t>
    <phoneticPr fontId="1" type="noConversion"/>
  </si>
  <si>
    <t>支撑萧山电力绿智食堂项目</t>
    <phoneticPr fontId="1" type="noConversion"/>
  </si>
  <si>
    <t>6、延安大学新一代校园卡平台建设项目</t>
    <phoneticPr fontId="1" type="noConversion"/>
  </si>
  <si>
    <t>7、撑浙江省电力绿智食堂项目；（潘燕忠）</t>
  </si>
  <si>
    <t>1、支撑福建省电力绿智食堂项目；（潘燕忠）</t>
    <phoneticPr fontId="1" type="noConversion"/>
  </si>
  <si>
    <t>支撑福建省电力绿智食堂项目</t>
    <phoneticPr fontId="1" type="noConversion"/>
  </si>
  <si>
    <t>2、烟台黄金职业物联勘点协调配合，空调物联控制方案提供；（张靖平）</t>
    <phoneticPr fontId="1" type="noConversion"/>
  </si>
  <si>
    <t>3、北化工学工招标文件审核，中标98万；</t>
    <phoneticPr fontId="1" type="noConversion"/>
  </si>
  <si>
    <t>4、撰写完成延安大学新一代校园卡平台建设项目方案和报价；（郑小勇）</t>
    <phoneticPr fontId="1" type="noConversion"/>
  </si>
  <si>
    <t>撰写完成延安大学新一代校园卡平台建设项目方案和报价</t>
    <phoneticPr fontId="1" type="noConversion"/>
  </si>
  <si>
    <t>5、支持陕西学前师范学院数字身份管理平台建设项目，提供给一线销售数字身份介质管理平台解决方案；（郑小勇）</t>
    <phoneticPr fontId="1" type="noConversion"/>
  </si>
  <si>
    <t>陕西学前师范学院</t>
  </si>
  <si>
    <t>陕西</t>
    <phoneticPr fontId="1" type="noConversion"/>
  </si>
  <si>
    <t>省外</t>
    <phoneticPr fontId="1" type="noConversion"/>
  </si>
  <si>
    <t>陕西学前师范学院数字身份管理平台建设项目</t>
    <phoneticPr fontId="1" type="noConversion"/>
  </si>
  <si>
    <t>6、参与河南省委工行投标；</t>
    <phoneticPr fontId="1" type="noConversion"/>
  </si>
  <si>
    <t>8、支持衢州职业技术学院一卡通项目的产品参数和招标参数修改事项；（郑小勇）</t>
    <phoneticPr fontId="1" type="noConversion"/>
  </si>
  <si>
    <t>支持衢州职业技术学院一卡通项目的产品参数和招标参数修改事项</t>
    <phoneticPr fontId="1" type="noConversion"/>
  </si>
  <si>
    <t>郑小勇</t>
    <phoneticPr fontId="1" type="noConversion"/>
  </si>
  <si>
    <t>9、三门峡社会管理职业学院金融生态建设项目质疑函回复；（李叔平）</t>
    <phoneticPr fontId="1" type="noConversion"/>
  </si>
  <si>
    <t>三门峡社会管理职业学院</t>
  </si>
  <si>
    <t>三门峡社会管理职业学院金融生态建设项目</t>
    <phoneticPr fontId="1" type="noConversion"/>
  </si>
  <si>
    <t>重庆工商物联清单</t>
    <phoneticPr fontId="1" type="noConversion"/>
  </si>
  <si>
    <t>河南</t>
    <phoneticPr fontId="1" type="noConversion"/>
  </si>
  <si>
    <t>1、厦大马来校区有一卡通个性化修改协调，下周一部署；（邱春红）</t>
  </si>
  <si>
    <t>10、支撑福建省电力绿智食堂项目；（潘燕忠）</t>
  </si>
  <si>
    <t>2、河南省政府项目相关工作，涉及项目预算清单、建设方案、估价依据等材料的编制，负责门户、物联、AI应用、数字孪生应用、财务等子项目；（齐益军）</t>
    <phoneticPr fontId="1" type="noConversion"/>
  </si>
  <si>
    <t>3、中广核一卡通项目标书制作支持；（郑小勇、施政）</t>
    <phoneticPr fontId="1" type="noConversion"/>
  </si>
  <si>
    <t>中广核一卡通项目标书制作支持</t>
    <phoneticPr fontId="1" type="noConversion"/>
  </si>
  <si>
    <t>郑小勇、施政</t>
    <phoneticPr fontId="1" type="noConversion"/>
  </si>
  <si>
    <t>5、台州市交通投资集团有限公司金融科技社会化平台采购项目上传开标支持；（施政）</t>
    <phoneticPr fontId="1" type="noConversion"/>
  </si>
  <si>
    <t>台州市交通投资集团有限公司</t>
    <phoneticPr fontId="1" type="noConversion"/>
  </si>
  <si>
    <t>施政</t>
    <phoneticPr fontId="1" type="noConversion"/>
  </si>
  <si>
    <t>台州市交通投资集团有限公司金融科技社会化平台采购项目</t>
    <phoneticPr fontId="1" type="noConversion"/>
  </si>
  <si>
    <t>三门峡社会管理职业学院金融生态建设项目质疑函回复</t>
    <phoneticPr fontId="1" type="noConversion"/>
  </si>
  <si>
    <t>6、杭州师范大学物联交流；（张靖平、朱嘉劼）</t>
    <phoneticPr fontId="1" type="noConversion"/>
  </si>
  <si>
    <t>合同号</t>
    <phoneticPr fontId="1" type="noConversion"/>
  </si>
  <si>
    <t>杭州师范大学物联交流</t>
    <phoneticPr fontId="1" type="noConversion"/>
  </si>
  <si>
    <t>张靖平、朱嘉劼</t>
    <phoneticPr fontId="1" type="noConversion"/>
  </si>
  <si>
    <t>7、吉林物联空调项目交流；（张靖平、朱嘉劼）</t>
    <phoneticPr fontId="1" type="noConversion"/>
  </si>
  <si>
    <t>8、陕西学前师范学院用户进行一次线上交流，编写陕西学前师范学院人脸库项目建设方案和招标参数；（郑小勇）</t>
    <phoneticPr fontId="1" type="noConversion"/>
  </si>
  <si>
    <t>陕西学前师范学院用户进行一次线上交流，编写陕西学前师范学院人脸库项目建设方案和招标参数</t>
    <phoneticPr fontId="1" type="noConversion"/>
  </si>
  <si>
    <t>9、武汉职业技术大学智慧校园建设项目解决方案汇报，准备编写项目交流PPT方案；（郑小勇）</t>
    <phoneticPr fontId="1" type="noConversion"/>
  </si>
  <si>
    <t>武汉职业技术大学</t>
    <phoneticPr fontId="1" type="noConversion"/>
  </si>
  <si>
    <t>湖北</t>
    <phoneticPr fontId="1" type="noConversion"/>
  </si>
  <si>
    <t>省外</t>
    <phoneticPr fontId="1" type="noConversion"/>
  </si>
  <si>
    <t>武汉职业技术大学智慧校园建设项目</t>
    <phoneticPr fontId="1" type="noConversion"/>
  </si>
  <si>
    <t>11、支撑福州国网电力综合楼食堂试点项目；（潘燕忠）</t>
    <phoneticPr fontId="1" type="noConversion"/>
  </si>
  <si>
    <t>福州国网电力综合楼食堂试点</t>
    <phoneticPr fontId="1" type="noConversion"/>
  </si>
  <si>
    <t>12、支撑浙江省电力绿智食堂项目；（潘燕忠）</t>
    <phoneticPr fontId="1" type="noConversion"/>
  </si>
  <si>
    <t>支撑浙江省电力绿智食堂项目</t>
    <phoneticPr fontId="1" type="noConversion"/>
  </si>
  <si>
    <t>13、根据省建行审核要求，修改调整河南省委建行项目的方案材料、询价材料、定制开发工作量评估表等各项材料；（胡启灏）</t>
    <phoneticPr fontId="1" type="noConversion"/>
  </si>
  <si>
    <t>14、兰州财经银校合作清单编制；（李靖翔）</t>
    <phoneticPr fontId="1" type="noConversion"/>
  </si>
  <si>
    <t>兰州财经大学</t>
  </si>
  <si>
    <t>甘肃</t>
    <phoneticPr fontId="1" type="noConversion"/>
  </si>
  <si>
    <t>兰州财经银校合作</t>
  </si>
  <si>
    <t>15、万里学院一卡通升级汇报材料制作；（李靖翔）</t>
    <phoneticPr fontId="1" type="noConversion"/>
  </si>
  <si>
    <t>浙江万里学院</t>
  </si>
  <si>
    <t>浙江万里学院一卡通项目</t>
    <phoneticPr fontId="1" type="noConversion"/>
  </si>
  <si>
    <t>16、重庆师范大学客户演示；（张靖平）</t>
    <phoneticPr fontId="1" type="noConversion"/>
  </si>
  <si>
    <t>天津传媒学院物联清单</t>
    <phoneticPr fontId="1" type="noConversion"/>
  </si>
  <si>
    <t>重庆师范大学客户演示</t>
    <phoneticPr fontId="1" type="noConversion"/>
  </si>
  <si>
    <t>张靖平</t>
    <phoneticPr fontId="1" type="noConversion"/>
  </si>
  <si>
    <t>17、大湾区大学、南科大学工出差交流，南科大、大湾区大学学工清单；（张靖平）</t>
    <phoneticPr fontId="1" type="noConversion"/>
  </si>
  <si>
    <t>大湾区大学</t>
    <phoneticPr fontId="1" type="noConversion"/>
  </si>
  <si>
    <t>学工</t>
    <phoneticPr fontId="1" type="noConversion"/>
  </si>
  <si>
    <t>南方科技大学学工</t>
    <phoneticPr fontId="1" type="noConversion"/>
  </si>
  <si>
    <t>大湾区大学学工</t>
    <phoneticPr fontId="1" type="noConversion"/>
  </si>
  <si>
    <t>18、浙大运维问题沟通协调；（张靖平）</t>
    <phoneticPr fontId="1" type="noConversion"/>
  </si>
  <si>
    <t>19、温州医科中控对接协调；（张靖平）</t>
    <phoneticPr fontId="1" type="noConversion"/>
  </si>
  <si>
    <t>温州医科中控对接协调</t>
    <phoneticPr fontId="1" type="noConversion"/>
  </si>
  <si>
    <t>物联</t>
    <phoneticPr fontId="1" type="noConversion"/>
  </si>
  <si>
    <t>福州大学</t>
    <phoneticPr fontId="1" type="noConversion"/>
  </si>
  <si>
    <t>20、福州大学合作方物联合作交流；（张靖平）</t>
    <phoneticPr fontId="1" type="noConversion"/>
  </si>
  <si>
    <t>吉林大学</t>
    <phoneticPr fontId="1" type="noConversion"/>
  </si>
  <si>
    <t>吉林大学物联空调项目</t>
    <phoneticPr fontId="1" type="noConversion"/>
  </si>
  <si>
    <t>21、烟台黄金职业空调物联清单；（张靖平）</t>
    <phoneticPr fontId="1" type="noConversion"/>
  </si>
  <si>
    <t>22、烟台黄金职业空开展示屏；（张靖平）</t>
    <phoneticPr fontId="1" type="noConversion"/>
  </si>
  <si>
    <t>23、深圳医学科学院后勤出差交流；（张靖平）</t>
    <phoneticPr fontId="1" type="noConversion"/>
  </si>
  <si>
    <t>深圳医学科学院后勤出差交流</t>
    <phoneticPr fontId="1" type="noConversion"/>
  </si>
  <si>
    <t>24、北化工三期方向讨论，初步建设内容输出；（张靖平）</t>
    <phoneticPr fontId="1" type="noConversion"/>
  </si>
  <si>
    <t>北化工三期方向讨论，初步建设内容输出</t>
    <phoneticPr fontId="1" type="noConversion"/>
  </si>
  <si>
    <t>25、江西烟草专卖局客户交流，需求沟通；（张靖平）</t>
    <phoneticPr fontId="1" type="noConversion"/>
  </si>
  <si>
    <t>26、吉林集成商空调物联网管理初步交流；（张靖平）</t>
    <phoneticPr fontId="1" type="noConversion"/>
  </si>
  <si>
    <t>吉林集成商</t>
    <phoneticPr fontId="1" type="noConversion"/>
  </si>
  <si>
    <t>27、北邮干部画像和智慧党建申报书修改；（张靖平）</t>
    <phoneticPr fontId="1" type="noConversion"/>
  </si>
  <si>
    <t>北邮干部画像和智慧党建申报书修改</t>
    <phoneticPr fontId="1" type="noConversion"/>
  </si>
  <si>
    <t>28、贵州中医药物联部分投标素材支持；（张靖平）</t>
    <phoneticPr fontId="1" type="noConversion"/>
  </si>
  <si>
    <t>贵州中医药物联部分投标素材支持</t>
    <phoneticPr fontId="1" type="noConversion"/>
  </si>
  <si>
    <t>江西烟草专卖局</t>
    <phoneticPr fontId="1" type="noConversion"/>
  </si>
  <si>
    <t>子公司</t>
    <phoneticPr fontId="1" type="noConversion"/>
  </si>
  <si>
    <t>吉林集成商空调物联网</t>
    <phoneticPr fontId="1" type="noConversion"/>
  </si>
  <si>
    <t>WL2026111</t>
    <phoneticPr fontId="1" type="noConversion"/>
  </si>
  <si>
    <t>重庆工信职业学院智慧环境二期</t>
    <phoneticPr fontId="1" type="noConversion"/>
  </si>
  <si>
    <t>WL2026112</t>
  </si>
  <si>
    <t>台州市交通投资集团有限公司金融科技社会化平台采购项目上传开标支持</t>
    <phoneticPr fontId="1" type="noConversion"/>
  </si>
  <si>
    <t>吉林物联空调项目交流</t>
    <phoneticPr fontId="1" type="noConversion"/>
  </si>
  <si>
    <t>支撑福州国网电力综合楼食堂试点项目</t>
    <phoneticPr fontId="1" type="noConversion"/>
  </si>
  <si>
    <t>万里学院一卡通升级汇报材料制作</t>
    <phoneticPr fontId="1" type="noConversion"/>
  </si>
  <si>
    <t>出差交流，学工清单</t>
  </si>
  <si>
    <t>浙大运维问题沟通协调</t>
    <phoneticPr fontId="1" type="noConversion"/>
  </si>
  <si>
    <t>福州大学合作方物联合作交流</t>
    <phoneticPr fontId="1" type="noConversion"/>
  </si>
  <si>
    <t>福州大学智慧空间</t>
    <phoneticPr fontId="1" type="noConversion"/>
  </si>
  <si>
    <t>1、山东外事大学物联试点交流；（朱嘉劼）</t>
    <phoneticPr fontId="1" type="noConversion"/>
  </si>
  <si>
    <t>山东外事大学物联试点交流</t>
    <phoneticPr fontId="1" type="noConversion"/>
  </si>
  <si>
    <t>朱嘉颉</t>
    <phoneticPr fontId="1" type="noConversion"/>
  </si>
  <si>
    <t>2、北京交通大学威海校区交流；（朱嘉劼）</t>
    <phoneticPr fontId="1" type="noConversion"/>
  </si>
  <si>
    <t>北京交通大学威海校区交流</t>
    <phoneticPr fontId="1" type="noConversion"/>
  </si>
  <si>
    <t>朱嘉劼</t>
    <phoneticPr fontId="1" type="noConversion"/>
  </si>
  <si>
    <t>3、烟台黄金整体物联方案；（朱嘉劼）</t>
    <phoneticPr fontId="1" type="noConversion"/>
  </si>
  <si>
    <t>4、浙江省电力绿智食堂项目；（潘燕忠）</t>
    <phoneticPr fontId="1" type="noConversion"/>
  </si>
  <si>
    <t>5、王力集团萧山大楼项目跟进；（潘燕忠）</t>
    <phoneticPr fontId="1" type="noConversion"/>
  </si>
  <si>
    <t>王力集团萧山大楼</t>
    <phoneticPr fontId="1" type="noConversion"/>
  </si>
  <si>
    <t>王力集团萧山大楼项目</t>
    <phoneticPr fontId="1" type="noConversion"/>
  </si>
  <si>
    <t>6、武汉电信物联平台合作交流，核心关注应用，初步评估按项目；（张靖平）</t>
    <phoneticPr fontId="1" type="noConversion"/>
  </si>
  <si>
    <t>武汉电信</t>
    <phoneticPr fontId="1" type="noConversion"/>
  </si>
  <si>
    <t>湖北</t>
    <phoneticPr fontId="1" type="noConversion"/>
  </si>
  <si>
    <t>省外</t>
    <phoneticPr fontId="1" type="noConversion"/>
  </si>
  <si>
    <t>新增，武汉电信物联平台合作交流，核心关注应用，初步评估按项目</t>
    <phoneticPr fontId="1" type="noConversion"/>
  </si>
  <si>
    <t>武汉电信物联平台</t>
    <phoneticPr fontId="1" type="noConversion"/>
  </si>
  <si>
    <t>杭州</t>
    <phoneticPr fontId="1" type="noConversion"/>
  </si>
  <si>
    <t>省内</t>
    <phoneticPr fontId="1" type="noConversion"/>
  </si>
  <si>
    <t>新增，王力集团萧山大楼项目跟进</t>
    <phoneticPr fontId="1" type="noConversion"/>
  </si>
  <si>
    <t>江西烟草专卖局客户交流，需求沟通</t>
  </si>
  <si>
    <t>吉林集成商空调物联网管理初步交流</t>
  </si>
  <si>
    <t>7、浙江中医药大学图书馆物联交流，暑假预计两层楼招标，提供初步清单；（张靖平）</t>
    <phoneticPr fontId="1" type="noConversion"/>
  </si>
  <si>
    <t>浙江中医药大学</t>
  </si>
  <si>
    <t>新增，浙江中医药大学图书馆物联交流，暑假预计两层楼招标，提供初步清单</t>
    <phoneticPr fontId="1" type="noConversion"/>
  </si>
  <si>
    <t>浙江中医药大学图书馆物联项目</t>
    <phoneticPr fontId="1" type="noConversion"/>
  </si>
  <si>
    <t>8、西南石油大学一体化出入清单；（张靖平）</t>
    <phoneticPr fontId="1" type="noConversion"/>
  </si>
  <si>
    <t>西南石油大学</t>
    <phoneticPr fontId="1" type="noConversion"/>
  </si>
  <si>
    <t>新增，西南石油大学一体化出入清单</t>
    <phoneticPr fontId="1" type="noConversion"/>
  </si>
  <si>
    <t>西南石油大学一体化出入</t>
    <phoneticPr fontId="1" type="noConversion"/>
  </si>
  <si>
    <t>9、烟台黄金职业方案确定，整体方案提供，空开+空调+门锁；（张靖平）</t>
    <phoneticPr fontId="1" type="noConversion"/>
  </si>
  <si>
    <t>烟台黄金整体物联方案，烟台黄金职业方案确定，整体方案提供，空开+空调+门锁</t>
    <phoneticPr fontId="1" type="noConversion"/>
  </si>
  <si>
    <t>10、黑龙江IOC+物联+AI简单汇报材料；（张靖平）</t>
    <phoneticPr fontId="1" type="noConversion"/>
  </si>
  <si>
    <t>黑龙江IOC+物联+AI简单汇报材料</t>
    <phoneticPr fontId="1" type="noConversion"/>
  </si>
  <si>
    <t>11、赛轮集团融合平台汇报交流；（张靖平）</t>
    <phoneticPr fontId="1" type="noConversion"/>
  </si>
  <si>
    <t>赛轮集团</t>
    <phoneticPr fontId="1" type="noConversion"/>
  </si>
  <si>
    <t>山东</t>
    <phoneticPr fontId="1" type="noConversion"/>
  </si>
  <si>
    <t>新增，赛轮集团融合平台汇报交流</t>
    <phoneticPr fontId="1" type="noConversion"/>
  </si>
  <si>
    <t>赛轮集团融合平台</t>
    <phoneticPr fontId="1" type="noConversion"/>
  </si>
  <si>
    <t>12、江苏护理学院空调招标参数；（张靖平）</t>
    <phoneticPr fontId="1" type="noConversion"/>
  </si>
  <si>
    <t>江苏护理职业学院</t>
    <phoneticPr fontId="1" type="noConversion"/>
  </si>
  <si>
    <t>江苏</t>
    <phoneticPr fontId="1" type="noConversion"/>
  </si>
  <si>
    <t>新增，江苏护理学院空调招标参数</t>
    <phoneticPr fontId="1" type="noConversion"/>
  </si>
  <si>
    <t>江苏护理学院空调项目</t>
    <phoneticPr fontId="1" type="noConversion"/>
  </si>
  <si>
    <t>浙江大学</t>
  </si>
  <si>
    <t>13、浙大ai心理合作协议法务审核；（张靖平）</t>
    <phoneticPr fontId="1" type="noConversion"/>
  </si>
  <si>
    <t>新增，浙大ai心理合作协议法务审核</t>
    <phoneticPr fontId="1" type="noConversion"/>
  </si>
  <si>
    <t>浙大ai心理合作</t>
    <phoneticPr fontId="1" type="noConversion"/>
  </si>
  <si>
    <t>14、湖州学院物联方案支持；（张靖平）</t>
    <phoneticPr fontId="1" type="noConversion"/>
  </si>
  <si>
    <t>新增，湖州学院物联方案支持</t>
    <phoneticPr fontId="1" type="noConversion"/>
  </si>
  <si>
    <t>湖州学院</t>
    <phoneticPr fontId="1" type="noConversion"/>
  </si>
  <si>
    <t>湖州学院物联</t>
    <phoneticPr fontId="1" type="noConversion"/>
  </si>
  <si>
    <t>15、鄂尔多斯物联清单和招标参数配合；（张靖平）</t>
    <phoneticPr fontId="1" type="noConversion"/>
  </si>
  <si>
    <t>鄂尔多斯应用职业技术学院</t>
    <phoneticPr fontId="1" type="noConversion"/>
  </si>
  <si>
    <t>内蒙古</t>
    <phoneticPr fontId="1" type="noConversion"/>
  </si>
  <si>
    <t>新增，鄂尔多斯物联清单和招标参数配合</t>
    <phoneticPr fontId="1" type="noConversion"/>
  </si>
  <si>
    <t>鄂尔多斯物联</t>
    <phoneticPr fontId="1" type="noConversion"/>
  </si>
  <si>
    <t>16、贵州中医药大学智慧校园升级项目；（施政）</t>
    <phoneticPr fontId="1" type="noConversion"/>
  </si>
  <si>
    <t>贵州中医药大学</t>
  </si>
  <si>
    <t>贵州中医院大学智慧校园升级</t>
    <phoneticPr fontId="1" type="noConversion"/>
  </si>
  <si>
    <t>新增，贵州中医药大学智慧校园升级项目</t>
    <phoneticPr fontId="1" type="noConversion"/>
  </si>
  <si>
    <t>施政</t>
    <phoneticPr fontId="1" type="noConversion"/>
  </si>
  <si>
    <t>17、长庆油田智慧食堂信息系统升级改造项目；（施政）</t>
    <phoneticPr fontId="1" type="noConversion"/>
  </si>
  <si>
    <t>长庆油田</t>
    <phoneticPr fontId="1" type="noConversion"/>
  </si>
  <si>
    <t>陕西</t>
    <phoneticPr fontId="1" type="noConversion"/>
  </si>
  <si>
    <t>新增，长庆油田智慧食堂信息系统升级改造项目</t>
    <phoneticPr fontId="1" type="noConversion"/>
  </si>
  <si>
    <t>长庆油田智慧食堂信息系统升级改造项目</t>
    <phoneticPr fontId="1" type="noConversion"/>
  </si>
  <si>
    <t>18、武汉职业技术大学新一代校园卡项目；（郑小勇）</t>
    <phoneticPr fontId="1" type="noConversion"/>
  </si>
  <si>
    <t>武汉职业技术大学新一代校园卡项目</t>
    <phoneticPr fontId="1" type="noConversion"/>
  </si>
  <si>
    <t>19、支持宁波万里学院智慧后勤升级项目，以及宁波大学融合方案交流，下周一至周三出差宁波；（郑小勇）</t>
    <phoneticPr fontId="1" type="noConversion"/>
  </si>
  <si>
    <t>郑小勇</t>
    <phoneticPr fontId="1" type="noConversion"/>
  </si>
  <si>
    <t>新增，支持宁波万里学院智慧后勤升级项目</t>
    <phoneticPr fontId="1" type="noConversion"/>
  </si>
  <si>
    <t>宁波大学</t>
    <phoneticPr fontId="1" type="noConversion"/>
  </si>
  <si>
    <t>新增，宁波大学融合方案交流</t>
    <phoneticPr fontId="1" type="noConversion"/>
  </si>
  <si>
    <t>宁波大学融合</t>
    <phoneticPr fontId="1" type="noConversion"/>
  </si>
  <si>
    <t>宁波万里学院智慧后勤升级项目</t>
    <phoneticPr fontId="1" type="noConversion"/>
  </si>
  <si>
    <t>20、支持深圳理工大学一卡通项目，协助用户修改招标文件参数，修改版本已提交给用户；（郑小勇）</t>
    <phoneticPr fontId="1" type="noConversion"/>
  </si>
  <si>
    <t>支持深圳理工大学一卡通项目，协助用户修改招标文件参数，修改版本已提交给用户</t>
    <phoneticPr fontId="1" type="noConversion"/>
  </si>
  <si>
    <t>21、中国石油大学一卡通项目；（李叔平）</t>
    <phoneticPr fontId="1" type="noConversion"/>
  </si>
  <si>
    <t>李叔平</t>
    <phoneticPr fontId="1" type="noConversion"/>
  </si>
  <si>
    <t>中国石油大学一卡通项目</t>
    <phoneticPr fontId="1" type="noConversion"/>
  </si>
  <si>
    <t>22、河南省机关事务管理局（李叔平）</t>
    <phoneticPr fontId="1" type="noConversion"/>
  </si>
  <si>
    <t>27、协同河南省建行支行到省行金科部当面沟通项目方案相关材料，根据审核意见修改所有软件、硬件方案材料、项目清单、询价材料、招标参数等内容；（胡启灏）</t>
    <phoneticPr fontId="1" type="noConversion"/>
  </si>
  <si>
    <t>协同河南省建行支行到省行金科部当面沟通项目方案相关材料，根据审核意见修改所有软件、硬件方案材料、项目清单、询价材料、招标参数等内容</t>
    <phoneticPr fontId="1" type="noConversion"/>
  </si>
  <si>
    <t>河南省机关事务管理局</t>
    <phoneticPr fontId="1" type="noConversion"/>
  </si>
  <si>
    <t>23、深圳技师学院一卡通项目；（李叔平）</t>
    <phoneticPr fontId="1" type="noConversion"/>
  </si>
  <si>
    <t>深圳技师学院</t>
    <phoneticPr fontId="1" type="noConversion"/>
  </si>
  <si>
    <t>中职</t>
    <phoneticPr fontId="1" type="noConversion"/>
  </si>
  <si>
    <t>新增，深圳技师学院一卡通项目</t>
    <phoneticPr fontId="1" type="noConversion"/>
  </si>
  <si>
    <t>深圳技师学院一卡通项目</t>
    <phoneticPr fontId="1" type="noConversion"/>
  </si>
  <si>
    <t>深圳</t>
    <phoneticPr fontId="1" type="noConversion"/>
  </si>
  <si>
    <t>24、黄河学院一卡通项目跟进；（李叔平）</t>
    <phoneticPr fontId="1" type="noConversion"/>
  </si>
  <si>
    <t>黄河学院</t>
    <phoneticPr fontId="1" type="noConversion"/>
  </si>
  <si>
    <t>新增，黄河学院一卡通项目跟进</t>
    <phoneticPr fontId="1" type="noConversion"/>
  </si>
  <si>
    <t>黄河学院一卡通项目</t>
    <phoneticPr fontId="1" type="noConversion"/>
  </si>
  <si>
    <t>河南</t>
    <phoneticPr fontId="1" type="noConversion"/>
  </si>
  <si>
    <t>25、衢州市教育局银校合作新材料编写；（李靖翔）</t>
    <phoneticPr fontId="1" type="noConversion"/>
  </si>
  <si>
    <t>衢州市教育局银校合作新材料编写</t>
    <phoneticPr fontId="1" type="noConversion"/>
  </si>
  <si>
    <t>李靖翔</t>
    <phoneticPr fontId="1" type="noConversion"/>
  </si>
  <si>
    <t>26、兰州财经建行材料沟通与修改；（李靖翔）</t>
    <phoneticPr fontId="1" type="noConversion"/>
  </si>
  <si>
    <t>兰州财经建行材料沟通与修改</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</si>
</sst>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5" formatCode="&quot;¥&quot;#,##0;&quot;¥&quot;\-#,##0"/>
    <numFmt numFmtId="7" formatCode="&quot;¥&quot;#,##0.00;&quot;¥&quot;\-#,##0.00"/>
  </numFmts>
  <fonts count="24" x14ac:knownFonts="1">
    <font>
      <sz val="11"/>
      <color theme="1"/>
      <name val="宋体"/>
      <charset val="134"/>
      <scheme val="minor"/>
    </font>
    <font>
      <sz val="9"/>
      <name val="宋体"/>
      <family val="3"/>
      <charset val="134"/>
      <scheme val="minor"/>
    </font>
    <font>
      <sz val="11"/>
      <color theme="1"/>
      <name val="宋体"/>
      <family val="3"/>
      <charset val="134"/>
      <scheme val="minor"/>
    </font>
    <font>
      <sz val="9"/>
      <name val="宋体"/>
      <family val="3"/>
      <charset val="134"/>
      <scheme val="minor"/>
    </font>
    <font>
      <b/>
      <sz val="11"/>
      <color theme="1"/>
      <name val="宋体"/>
      <family val="3"/>
      <charset val="134"/>
      <scheme val="minor"/>
    </font>
    <font>
      <b/>
      <sz val="10"/>
      <color theme="0"/>
      <name val="微软雅黑"/>
      <family val="2"/>
      <charset val="134"/>
    </font>
    <font>
      <sz val="10.5"/>
      <color theme="1"/>
      <name val="微软雅黑"/>
      <family val="2"/>
      <charset val="134"/>
    </font>
    <font>
      <b/>
      <sz val="11.5"/>
      <color theme="0"/>
      <name val="微软雅黑"/>
      <family val="2"/>
      <charset val="134"/>
    </font>
    <font>
      <b/>
      <sz val="11.5"/>
      <color theme="1"/>
      <name val="微软雅黑"/>
      <family val="2"/>
      <charset val="134"/>
    </font>
    <font>
      <b/>
      <sz val="10"/>
      <color rgb="FFFF0000"/>
      <name val="微软雅黑"/>
      <family val="2"/>
      <charset val="134"/>
    </font>
    <font>
      <b/>
      <sz val="11"/>
      <color theme="0"/>
      <name val="宋体"/>
      <family val="3"/>
      <charset val="134"/>
      <scheme val="minor"/>
    </font>
    <font>
      <b/>
      <sz val="11"/>
      <color theme="4"/>
      <name val="宋体"/>
      <family val="3"/>
      <charset val="134"/>
      <scheme val="minor"/>
    </font>
    <font>
      <sz val="11"/>
      <color rgb="FFFF0000"/>
      <name val="宋体"/>
      <family val="3"/>
      <charset val="134"/>
      <scheme val="minor"/>
    </font>
    <font>
      <sz val="11"/>
      <name val="宋体"/>
      <family val="3"/>
      <charset val="134"/>
      <scheme val="minor"/>
    </font>
    <font>
      <b/>
      <sz val="9"/>
      <color theme="1"/>
      <name val="微软雅黑"/>
      <family val="2"/>
      <charset val="134"/>
    </font>
    <font>
      <b/>
      <sz val="11.5"/>
      <color rgb="FFFF0000"/>
      <name val="微软雅黑"/>
      <family val="2"/>
      <charset val="134"/>
    </font>
    <font>
      <sz val="11"/>
      <color indexed="8"/>
      <name val="宋体"/>
      <family val="2"/>
      <scheme val="minor"/>
    </font>
    <font>
      <sz val="9"/>
      <color indexed="81"/>
      <name val="宋体"/>
      <family val="3"/>
      <charset val="134"/>
    </font>
    <font>
      <b/>
      <sz val="9"/>
      <color indexed="81"/>
      <name val="宋体"/>
      <family val="3"/>
      <charset val="134"/>
    </font>
    <font>
      <b/>
      <sz val="12"/>
      <color theme="0"/>
      <name val="微软雅黑"/>
      <family val="2"/>
      <charset val="134"/>
    </font>
    <font>
      <b/>
      <sz val="10.5"/>
      <color rgb="FFFF0000"/>
      <name val="微软雅黑"/>
      <family val="2"/>
      <charset val="134"/>
    </font>
    <font>
      <sz val="10.5"/>
      <color rgb="FFFF0000"/>
      <name val="微软雅黑"/>
      <family val="2"/>
      <charset val="134"/>
    </font>
    <font>
      <b/>
      <sz val="10.5"/>
      <color theme="5"/>
      <name val="微软雅黑"/>
      <family val="2"/>
      <charset val="134"/>
    </font>
    <font>
      <sz val="12"/>
      <color theme="1"/>
      <name val="宋体"/>
      <family val="2"/>
      <charset val="134"/>
      <scheme val="minor"/>
    </font>
  </fonts>
  <fills count="8">
    <fill>
      <patternFill patternType="none"/>
    </fill>
    <fill>
      <patternFill patternType="gray125"/>
    </fill>
    <fill>
      <patternFill patternType="solid">
        <fgColor theme="4"/>
        <bgColor indexed="64"/>
      </patternFill>
    </fill>
    <fill>
      <patternFill patternType="solid">
        <fgColor rgb="FFFFFF00"/>
        <bgColor indexed="64"/>
      </patternFill>
    </fill>
    <fill>
      <patternFill patternType="solid">
        <fgColor theme="7" tint="0.59999389629810485"/>
        <bgColor indexed="64"/>
      </patternFill>
    </fill>
    <fill>
      <patternFill patternType="solid">
        <fgColor theme="2" tint="-9.9978637043366805E-2"/>
        <bgColor indexed="64"/>
      </patternFill>
    </fill>
    <fill>
      <patternFill patternType="solid">
        <fgColor theme="3" tint="0.79998168889431442"/>
        <bgColor indexed="64"/>
      </patternFill>
    </fill>
    <fill>
      <patternFill patternType="solid">
        <fgColor theme="5"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3">
    <xf numFmtId="0" fontId="0" fillId="0" borderId="0">
      <alignment vertical="center"/>
    </xf>
    <xf numFmtId="0" fontId="2" fillId="0" borderId="0">
      <alignment vertical="center"/>
    </xf>
    <xf numFmtId="0" fontId="16" fillId="0" borderId="0">
      <alignment vertical="center"/>
    </xf>
  </cellStyleXfs>
  <cellXfs count="81">
    <xf numFmtId="0" fontId="0" fillId="0" borderId="0" xfId="0">
      <alignment vertical="center"/>
    </xf>
    <xf numFmtId="0" fontId="0" fillId="0" borderId="0" xfId="0" applyAlignment="1">
      <alignment horizontal="center" vertical="center"/>
    </xf>
    <xf numFmtId="0" fontId="4" fillId="0" borderId="1" xfId="0" applyFont="1" applyBorder="1" applyAlignment="1">
      <alignment horizontal="center" vertical="center"/>
    </xf>
    <xf numFmtId="0" fontId="0" fillId="0" borderId="1" xfId="0" applyBorder="1" applyAlignment="1">
      <alignment horizontal="center" vertical="center"/>
    </xf>
    <xf numFmtId="0" fontId="2" fillId="0" borderId="1" xfId="0" applyFont="1" applyBorder="1" applyAlignment="1">
      <alignment horizontal="center" vertical="center"/>
    </xf>
    <xf numFmtId="0" fontId="6" fillId="0" borderId="0" xfId="0" applyFont="1" applyAlignment="1">
      <alignment horizontal="center" vertical="center"/>
    </xf>
    <xf numFmtId="7" fontId="6" fillId="0" borderId="0" xfId="0" applyNumberFormat="1" applyFont="1" applyAlignment="1">
      <alignment horizontal="center" vertical="center"/>
    </xf>
    <xf numFmtId="0" fontId="4" fillId="0" borderId="1" xfId="1" applyFont="1" applyBorder="1">
      <alignment vertical="center"/>
    </xf>
    <xf numFmtId="0" fontId="4" fillId="0" borderId="1" xfId="1" applyFont="1" applyBorder="1" applyAlignment="1">
      <alignment horizontal="center" vertical="center"/>
    </xf>
    <xf numFmtId="0" fontId="2" fillId="0" borderId="0" xfId="1">
      <alignment vertical="center"/>
    </xf>
    <xf numFmtId="0" fontId="4" fillId="0" borderId="0" xfId="1" applyFont="1">
      <alignment vertical="center"/>
    </xf>
    <xf numFmtId="0" fontId="2" fillId="0" borderId="1" xfId="1" applyBorder="1" applyAlignment="1">
      <alignment horizontal="left" vertical="center"/>
    </xf>
    <xf numFmtId="0" fontId="2" fillId="0" borderId="1" xfId="1" applyBorder="1">
      <alignment vertical="center"/>
    </xf>
    <xf numFmtId="0" fontId="8" fillId="0" borderId="0" xfId="0" applyFont="1" applyAlignment="1">
      <alignment horizontal="center" vertical="center"/>
    </xf>
    <xf numFmtId="0" fontId="7" fillId="2" borderId="1" xfId="0" applyFont="1" applyFill="1" applyBorder="1" applyAlignment="1">
      <alignment horizontal="center" vertical="center"/>
    </xf>
    <xf numFmtId="7" fontId="7" fillId="2" borderId="1" xfId="0" applyNumberFormat="1" applyFont="1" applyFill="1" applyBorder="1" applyAlignment="1">
      <alignment horizontal="center" vertical="center"/>
    </xf>
    <xf numFmtId="7" fontId="5" fillId="2" borderId="1" xfId="0" applyNumberFormat="1" applyFont="1" applyFill="1" applyBorder="1" applyAlignment="1">
      <alignment horizontal="center" vertical="center" wrapText="1"/>
    </xf>
    <xf numFmtId="0" fontId="6" fillId="0" borderId="1" xfId="0" applyFont="1" applyBorder="1" applyAlignment="1">
      <alignment horizontal="center" vertical="center"/>
    </xf>
    <xf numFmtId="0" fontId="6" fillId="0" borderId="1" xfId="0" applyFont="1" applyBorder="1" applyAlignment="1">
      <alignment horizontal="center" vertical="center" wrapText="1"/>
    </xf>
    <xf numFmtId="5" fontId="6" fillId="0" borderId="1" xfId="0" applyNumberFormat="1" applyFont="1" applyBorder="1" applyAlignment="1">
      <alignment horizontal="center" vertical="center"/>
    </xf>
    <xf numFmtId="0" fontId="6" fillId="0" borderId="1" xfId="0" applyFont="1" applyBorder="1" applyAlignment="1">
      <alignment horizontal="left" vertical="center" wrapText="1"/>
    </xf>
    <xf numFmtId="0" fontId="6" fillId="3" borderId="1" xfId="0" applyFont="1" applyFill="1" applyBorder="1" applyAlignment="1">
      <alignment horizontal="center" vertical="center"/>
    </xf>
    <xf numFmtId="0" fontId="8" fillId="3" borderId="1" xfId="0" applyFont="1" applyFill="1" applyBorder="1" applyAlignment="1">
      <alignment horizontal="center" vertical="center"/>
    </xf>
    <xf numFmtId="0" fontId="6" fillId="0" borderId="0" xfId="0" applyFont="1" applyAlignment="1">
      <alignment horizontal="left" vertical="center" wrapText="1"/>
    </xf>
    <xf numFmtId="0" fontId="8" fillId="3" borderId="1" xfId="0" applyFont="1" applyFill="1" applyBorder="1" applyAlignment="1">
      <alignment horizontal="center" vertical="center" wrapText="1"/>
    </xf>
    <xf numFmtId="0" fontId="6" fillId="4" borderId="1" xfId="0" applyFont="1" applyFill="1" applyBorder="1" applyAlignment="1">
      <alignment horizontal="center" vertical="center"/>
    </xf>
    <xf numFmtId="0" fontId="6" fillId="4" borderId="1" xfId="0" applyFont="1" applyFill="1" applyBorder="1" applyAlignment="1">
      <alignment horizontal="center" vertical="center" wrapText="1"/>
    </xf>
    <xf numFmtId="5" fontId="6" fillId="4" borderId="1" xfId="0" applyNumberFormat="1" applyFont="1" applyFill="1" applyBorder="1" applyAlignment="1">
      <alignment horizontal="center" vertical="center"/>
    </xf>
    <xf numFmtId="14" fontId="6" fillId="0" borderId="1" xfId="0" applyNumberFormat="1" applyFont="1" applyBorder="1" applyAlignment="1">
      <alignment horizontal="center" vertical="center"/>
    </xf>
    <xf numFmtId="14" fontId="6" fillId="4" borderId="1" xfId="0" applyNumberFormat="1" applyFont="1" applyFill="1" applyBorder="1" applyAlignment="1">
      <alignment horizontal="center" vertical="center"/>
    </xf>
    <xf numFmtId="0" fontId="7" fillId="2" borderId="1" xfId="0" applyFont="1" applyFill="1" applyBorder="1" applyAlignment="1">
      <alignment horizontal="center" vertical="center" wrapText="1"/>
    </xf>
    <xf numFmtId="0" fontId="4" fillId="0" borderId="0" xfId="0" applyFont="1">
      <alignment vertical="center"/>
    </xf>
    <xf numFmtId="14" fontId="0" fillId="0" borderId="0" xfId="0" applyNumberFormat="1">
      <alignment vertical="center"/>
    </xf>
    <xf numFmtId="14" fontId="6" fillId="0" borderId="0" xfId="0" applyNumberFormat="1" applyFont="1" applyAlignment="1">
      <alignment horizontal="center" vertical="center"/>
    </xf>
    <xf numFmtId="0" fontId="11" fillId="0" borderId="0" xfId="1" applyFont="1">
      <alignment vertical="center"/>
    </xf>
    <xf numFmtId="14" fontId="6" fillId="0" borderId="1" xfId="0" applyNumberFormat="1" applyFont="1" applyBorder="1" applyAlignment="1">
      <alignment horizontal="left" vertical="center" wrapText="1"/>
    </xf>
    <xf numFmtId="0" fontId="10" fillId="2" borderId="1" xfId="0" applyFont="1" applyFill="1" applyBorder="1" applyAlignment="1">
      <alignment horizontal="center" vertical="center"/>
    </xf>
    <xf numFmtId="0" fontId="0" fillId="0" borderId="1" xfId="0" applyBorder="1">
      <alignment vertical="center"/>
    </xf>
    <xf numFmtId="14" fontId="0" fillId="0" borderId="1" xfId="0" applyNumberFormat="1" applyBorder="1">
      <alignment vertical="center"/>
    </xf>
    <xf numFmtId="0" fontId="2" fillId="0" borderId="1" xfId="0" applyFont="1" applyBorder="1">
      <alignment vertical="center"/>
    </xf>
    <xf numFmtId="0" fontId="12" fillId="0" borderId="1" xfId="0" applyFont="1" applyBorder="1">
      <alignment vertical="center"/>
    </xf>
    <xf numFmtId="0" fontId="13" fillId="0" borderId="1" xfId="0" applyFont="1" applyBorder="1" applyAlignment="1">
      <alignment vertical="center" wrapText="1"/>
    </xf>
    <xf numFmtId="0" fontId="12" fillId="0" borderId="1" xfId="1" applyFont="1" applyBorder="1">
      <alignment vertical="center"/>
    </xf>
    <xf numFmtId="0" fontId="13" fillId="0" borderId="1" xfId="0" applyFont="1" applyBorder="1">
      <alignment vertical="center"/>
    </xf>
    <xf numFmtId="0" fontId="14" fillId="3" borderId="1" xfId="0" applyFont="1" applyFill="1" applyBorder="1" applyAlignment="1">
      <alignment horizontal="center" vertical="center" wrapText="1"/>
    </xf>
    <xf numFmtId="0" fontId="15" fillId="0" borderId="0" xfId="0" applyFont="1" applyAlignment="1">
      <alignment horizontal="left" vertical="center"/>
    </xf>
    <xf numFmtId="14" fontId="8" fillId="3" borderId="1" xfId="0" applyNumberFormat="1" applyFont="1" applyFill="1" applyBorder="1" applyAlignment="1">
      <alignment horizontal="center" vertical="center"/>
    </xf>
    <xf numFmtId="0" fontId="2" fillId="0" borderId="1" xfId="0" applyFont="1" applyBorder="1" applyAlignment="1">
      <alignment vertical="center" wrapText="1"/>
    </xf>
    <xf numFmtId="0" fontId="12" fillId="0" borderId="1" xfId="0" applyFont="1" applyBorder="1" applyAlignment="1">
      <alignment vertical="center" wrapText="1"/>
    </xf>
    <xf numFmtId="14" fontId="10" fillId="2" borderId="1" xfId="0" applyNumberFormat="1" applyFont="1" applyFill="1" applyBorder="1" applyAlignment="1">
      <alignment horizontal="center" vertical="center"/>
    </xf>
    <xf numFmtId="0" fontId="4" fillId="0" borderId="0" xfId="0" applyFont="1" applyAlignment="1">
      <alignment horizontal="center" vertical="center"/>
    </xf>
    <xf numFmtId="14" fontId="12" fillId="0" borderId="1" xfId="0" applyNumberFormat="1" applyFont="1" applyBorder="1">
      <alignment vertical="center"/>
    </xf>
    <xf numFmtId="5" fontId="6" fillId="0" borderId="0" xfId="0" applyNumberFormat="1" applyFont="1" applyAlignment="1">
      <alignment horizontal="center" vertical="center"/>
    </xf>
    <xf numFmtId="14" fontId="2" fillId="0" borderId="1" xfId="0" applyNumberFormat="1" applyFont="1" applyBorder="1">
      <alignment vertical="center"/>
    </xf>
    <xf numFmtId="0" fontId="2" fillId="0" borderId="0" xfId="0" applyFont="1" applyAlignment="1">
      <alignment horizontal="center" vertical="center"/>
    </xf>
    <xf numFmtId="0" fontId="6" fillId="4" borderId="1" xfId="0" applyFont="1" applyFill="1" applyBorder="1" applyAlignment="1">
      <alignment horizontal="left" vertical="center" wrapText="1"/>
    </xf>
    <xf numFmtId="0" fontId="4" fillId="3" borderId="0" xfId="0" applyFont="1" applyFill="1">
      <alignment vertical="center"/>
    </xf>
    <xf numFmtId="0" fontId="0" fillId="3" borderId="0" xfId="0" applyFill="1">
      <alignment vertical="center"/>
    </xf>
    <xf numFmtId="0" fontId="0" fillId="6" borderId="0" xfId="0" applyFill="1">
      <alignment vertical="center"/>
    </xf>
    <xf numFmtId="5" fontId="6" fillId="7" borderId="1" xfId="0" applyNumberFormat="1" applyFont="1" applyFill="1" applyBorder="1" applyAlignment="1">
      <alignment horizontal="center" vertical="center"/>
    </xf>
    <xf numFmtId="14" fontId="6" fillId="4" borderId="1" xfId="0" applyNumberFormat="1" applyFont="1" applyFill="1" applyBorder="1" applyAlignment="1">
      <alignment horizontal="center" vertical="center" wrapText="1"/>
    </xf>
    <xf numFmtId="14" fontId="6" fillId="0" borderId="1" xfId="0" applyNumberFormat="1" applyFont="1" applyBorder="1" applyAlignment="1">
      <alignment horizontal="center" vertical="center" wrapText="1"/>
    </xf>
    <xf numFmtId="0" fontId="6" fillId="7" borderId="1" xfId="0" applyFont="1" applyFill="1" applyBorder="1" applyAlignment="1">
      <alignment horizontal="center" vertical="center"/>
    </xf>
    <xf numFmtId="0" fontId="20" fillId="0" borderId="1" xfId="0" applyFont="1" applyBorder="1" applyAlignment="1">
      <alignment horizontal="center" vertical="center" wrapText="1"/>
    </xf>
    <xf numFmtId="0" fontId="22" fillId="0" borderId="1" xfId="0" applyFont="1" applyBorder="1" applyAlignment="1">
      <alignment horizontal="center" vertical="center" wrapText="1"/>
    </xf>
    <xf numFmtId="0" fontId="21" fillId="0" borderId="1" xfId="0" applyFont="1" applyBorder="1" applyAlignment="1">
      <alignment horizontal="center" vertical="center" wrapText="1"/>
    </xf>
    <xf numFmtId="0" fontId="21" fillId="3" borderId="1" xfId="0" applyFont="1" applyFill="1" applyBorder="1" applyAlignment="1">
      <alignment horizontal="center" vertical="center" wrapText="1"/>
    </xf>
    <xf numFmtId="14" fontId="21" fillId="0" borderId="1" xfId="0" applyNumberFormat="1" applyFont="1" applyBorder="1" applyAlignment="1">
      <alignment horizontal="center" vertical="center" wrapText="1"/>
    </xf>
    <xf numFmtId="14" fontId="21" fillId="5" borderId="1" xfId="0" applyNumberFormat="1" applyFont="1" applyFill="1" applyBorder="1" applyAlignment="1">
      <alignment horizontal="center" vertical="center" wrapText="1"/>
    </xf>
    <xf numFmtId="14" fontId="21" fillId="3" borderId="1" xfId="0" applyNumberFormat="1" applyFont="1" applyFill="1" applyBorder="1" applyAlignment="1">
      <alignment horizontal="center" vertical="center" wrapText="1"/>
    </xf>
    <xf numFmtId="0" fontId="2" fillId="0" borderId="1" xfId="1" applyBorder="1" applyAlignment="1">
      <alignment horizontal="left" vertical="center"/>
    </xf>
    <xf numFmtId="0" fontId="12" fillId="0" borderId="2" xfId="1" applyFont="1" applyBorder="1" applyAlignment="1">
      <alignment horizontal="left" vertical="center"/>
    </xf>
    <xf numFmtId="0" fontId="12" fillId="0" borderId="3" xfId="1" applyFont="1" applyBorder="1" applyAlignment="1">
      <alignment horizontal="left" vertical="center"/>
    </xf>
    <xf numFmtId="0" fontId="12" fillId="0" borderId="4" xfId="1" applyFont="1" applyBorder="1" applyAlignment="1">
      <alignment horizontal="left" vertical="center"/>
    </xf>
    <xf numFmtId="0" fontId="6" fillId="0" borderId="1" xfId="0" applyFont="1" applyFill="1" applyBorder="1" applyAlignment="1">
      <alignment horizontal="center" vertical="center"/>
    </xf>
    <xf numFmtId="0" fontId="6" fillId="0" borderId="1" xfId="0" applyFont="1" applyFill="1" applyBorder="1" applyAlignment="1">
      <alignment horizontal="center" vertical="center" wrapText="1"/>
    </xf>
    <xf numFmtId="5" fontId="6" fillId="0" borderId="1" xfId="0" applyNumberFormat="1" applyFont="1" applyFill="1" applyBorder="1" applyAlignment="1">
      <alignment horizontal="center" vertical="center"/>
    </xf>
    <xf numFmtId="14" fontId="6" fillId="0" borderId="1" xfId="0" applyNumberFormat="1" applyFont="1" applyFill="1" applyBorder="1" applyAlignment="1">
      <alignment horizontal="center" vertical="center"/>
    </xf>
    <xf numFmtId="0" fontId="6" fillId="0" borderId="1" xfId="0" applyFont="1" applyFill="1" applyBorder="1" applyAlignment="1">
      <alignment horizontal="left" vertical="center" wrapText="1"/>
    </xf>
    <xf numFmtId="14" fontId="6" fillId="0" borderId="1" xfId="0" applyNumberFormat="1" applyFont="1" applyFill="1" applyBorder="1" applyAlignment="1">
      <alignment horizontal="center" vertical="center" wrapText="1"/>
    </xf>
    <xf numFmtId="0" fontId="6" fillId="0" borderId="0" xfId="0" applyFont="1" applyFill="1" applyAlignment="1">
      <alignment horizontal="center" vertical="center"/>
    </xf>
  </cellXfs>
  <cellStyles count="3">
    <cellStyle name="常规" xfId="0" builtinId="0"/>
    <cellStyle name="常规 2" xfId="1" xr:uid="{A0DEAC52-466A-4F59-9D75-2AA10155B194}"/>
    <cellStyle name="常规 3" xfId="2" xr:uid="{191F26B2-E8FD-4197-9D10-5F2F99E43255}"/>
  </cellStyles>
  <dxfs count="1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2" tint="-0.24994659260841701"/>
        </patternFill>
      </fill>
    </dxf>
    <dxf>
      <fill>
        <patternFill>
          <bgColor theme="4" tint="0.79998168889431442"/>
        </patternFill>
      </fill>
    </dxf>
    <dxf>
      <fill>
        <patternFill>
          <bgColor theme="5" tint="0.79998168889431442"/>
        </patternFill>
      </fill>
    </dxf>
    <dxf>
      <fill>
        <patternFill>
          <bgColor theme="2" tint="-9.9948118533890809E-2"/>
        </patternFill>
      </fill>
    </dxf>
    <dxf>
      <fill>
        <patternFill>
          <bgColor theme="5" tint="0.79998168889431442"/>
        </patternFill>
      </fill>
    </dxf>
    <dxf>
      <fill>
        <patternFill>
          <bgColor theme="5"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3A5B0-0014-4F3D-8E27-ABEAB5230A46}">
  <dimension ref="A1:AJ20"/>
  <sheetViews>
    <sheetView topLeftCell="P1" workbookViewId="0">
      <selection activeCell="AE21" sqref="AE21"/>
    </sheetView>
  </sheetViews>
  <sheetFormatPr defaultRowHeight="14" x14ac:dyDescent="0.25"/>
  <sheetData>
    <row r="1" spans="1:36" s="31" customFormat="1" x14ac:dyDescent="0.25">
      <c r="A1" s="31" t="s">
        <v>2204</v>
      </c>
      <c r="C1" s="31" t="s">
        <v>2205</v>
      </c>
      <c r="D1" s="31" t="s">
        <v>2206</v>
      </c>
      <c r="E1" s="31" t="s">
        <v>2207</v>
      </c>
      <c r="F1" s="31" t="s">
        <v>2208</v>
      </c>
      <c r="G1" s="31" t="s">
        <v>2209</v>
      </c>
      <c r="H1" s="31" t="s">
        <v>2210</v>
      </c>
      <c r="I1" s="31" t="s">
        <v>2211</v>
      </c>
      <c r="J1" s="31" t="s">
        <v>2212</v>
      </c>
      <c r="K1" s="31" t="s">
        <v>2213</v>
      </c>
      <c r="L1" s="31" t="s">
        <v>2214</v>
      </c>
      <c r="M1" s="31" t="s">
        <v>2215</v>
      </c>
      <c r="N1" s="31" t="s">
        <v>2216</v>
      </c>
      <c r="O1" s="31" t="s">
        <v>2217</v>
      </c>
      <c r="P1" s="31" t="s">
        <v>2218</v>
      </c>
      <c r="Q1" s="31" t="s">
        <v>2219</v>
      </c>
      <c r="R1" s="31" t="s">
        <v>2220</v>
      </c>
      <c r="S1" s="31" t="s">
        <v>2221</v>
      </c>
      <c r="T1" s="31" t="s">
        <v>2222</v>
      </c>
      <c r="U1" s="31" t="s">
        <v>2223</v>
      </c>
      <c r="V1" s="31" t="s">
        <v>2224</v>
      </c>
      <c r="W1" s="31" t="s">
        <v>2225</v>
      </c>
      <c r="X1" s="31" t="s">
        <v>2226</v>
      </c>
      <c r="Y1" s="31" t="s">
        <v>2227</v>
      </c>
      <c r="Z1" s="31" t="s">
        <v>2228</v>
      </c>
      <c r="AA1" s="31" t="s">
        <v>2229</v>
      </c>
      <c r="AB1" s="56" t="s">
        <v>2230</v>
      </c>
      <c r="AC1" s="31" t="s">
        <v>2231</v>
      </c>
      <c r="AD1" s="31" t="s">
        <v>2232</v>
      </c>
      <c r="AE1" s="31" t="s">
        <v>2233</v>
      </c>
      <c r="AF1" s="31" t="s">
        <v>2234</v>
      </c>
      <c r="AG1" s="31" t="s">
        <v>2235</v>
      </c>
      <c r="AH1" s="31" t="s">
        <v>2236</v>
      </c>
      <c r="AI1" s="31" t="s">
        <v>2237</v>
      </c>
      <c r="AJ1" s="31" t="s">
        <v>2238</v>
      </c>
    </row>
    <row r="2" spans="1:36" x14ac:dyDescent="0.25">
      <c r="A2" t="s">
        <v>2239</v>
      </c>
      <c r="C2" t="s">
        <v>2240</v>
      </c>
      <c r="D2" t="s">
        <v>2241</v>
      </c>
      <c r="E2" t="s">
        <v>2242</v>
      </c>
      <c r="F2" t="s">
        <v>2243</v>
      </c>
      <c r="G2" t="s">
        <v>2244</v>
      </c>
      <c r="H2" t="s">
        <v>2245</v>
      </c>
      <c r="I2" t="s">
        <v>2246</v>
      </c>
      <c r="J2" t="s">
        <v>2247</v>
      </c>
      <c r="K2" t="s">
        <v>2248</v>
      </c>
      <c r="L2" t="s">
        <v>2249</v>
      </c>
      <c r="M2" t="s">
        <v>2250</v>
      </c>
      <c r="N2" t="s">
        <v>2251</v>
      </c>
      <c r="O2" t="s">
        <v>2252</v>
      </c>
      <c r="P2" t="s">
        <v>2253</v>
      </c>
      <c r="R2" t="s">
        <v>2254</v>
      </c>
      <c r="S2" t="s">
        <v>2255</v>
      </c>
      <c r="T2" t="s">
        <v>2256</v>
      </c>
      <c r="U2" t="s">
        <v>2251</v>
      </c>
      <c r="V2" t="s">
        <v>2257</v>
      </c>
      <c r="W2" t="s">
        <v>2258</v>
      </c>
      <c r="X2" t="s">
        <v>2259</v>
      </c>
      <c r="Y2" t="s">
        <v>2260</v>
      </c>
      <c r="Z2" t="s">
        <v>2259</v>
      </c>
      <c r="AA2" t="s">
        <v>2261</v>
      </c>
      <c r="AB2">
        <v>40000</v>
      </c>
      <c r="AC2" t="s">
        <v>2262</v>
      </c>
      <c r="AD2" t="s">
        <v>2262</v>
      </c>
      <c r="AE2" t="s">
        <v>2263</v>
      </c>
      <c r="AF2" t="s">
        <v>2264</v>
      </c>
      <c r="AG2" t="s">
        <v>2265</v>
      </c>
      <c r="AH2" t="s">
        <v>2266</v>
      </c>
      <c r="AI2" t="s">
        <v>2247</v>
      </c>
      <c r="AJ2" t="s">
        <v>2265</v>
      </c>
    </row>
    <row r="3" spans="1:36" x14ac:dyDescent="0.25">
      <c r="A3" t="s">
        <v>2267</v>
      </c>
      <c r="D3" t="s">
        <v>2268</v>
      </c>
      <c r="E3" t="s">
        <v>2269</v>
      </c>
      <c r="F3" t="s">
        <v>2270</v>
      </c>
      <c r="G3" t="s">
        <v>2271</v>
      </c>
      <c r="H3" t="s">
        <v>2245</v>
      </c>
      <c r="I3" t="s">
        <v>2272</v>
      </c>
      <c r="J3" t="s">
        <v>2273</v>
      </c>
      <c r="K3" t="s">
        <v>2274</v>
      </c>
      <c r="L3" t="s">
        <v>2275</v>
      </c>
      <c r="M3" t="s">
        <v>2250</v>
      </c>
      <c r="N3" t="s">
        <v>2251</v>
      </c>
      <c r="P3" t="s">
        <v>2276</v>
      </c>
      <c r="R3" t="s">
        <v>2277</v>
      </c>
      <c r="U3" t="s">
        <v>2278</v>
      </c>
      <c r="V3" t="s">
        <v>2257</v>
      </c>
      <c r="W3" t="s">
        <v>2279</v>
      </c>
      <c r="X3" t="s">
        <v>2280</v>
      </c>
      <c r="Y3" t="s">
        <v>2260</v>
      </c>
      <c r="Z3" t="s">
        <v>2281</v>
      </c>
      <c r="AA3" t="s">
        <v>2282</v>
      </c>
      <c r="AB3" s="57">
        <v>-175900</v>
      </c>
      <c r="AC3" t="s">
        <v>2283</v>
      </c>
      <c r="AD3" t="s">
        <v>2283</v>
      </c>
      <c r="AF3" t="s">
        <v>2284</v>
      </c>
      <c r="AG3" t="s">
        <v>2285</v>
      </c>
      <c r="AH3" t="s">
        <v>2286</v>
      </c>
      <c r="AI3" t="s">
        <v>2273</v>
      </c>
      <c r="AJ3" t="s">
        <v>2285</v>
      </c>
    </row>
    <row r="4" spans="1:36" x14ac:dyDescent="0.25">
      <c r="A4" t="s">
        <v>2287</v>
      </c>
      <c r="C4" t="s">
        <v>2288</v>
      </c>
      <c r="D4" t="s">
        <v>2289</v>
      </c>
      <c r="E4" t="s">
        <v>2290</v>
      </c>
      <c r="F4" t="s">
        <v>2243</v>
      </c>
      <c r="G4" t="s">
        <v>2244</v>
      </c>
      <c r="H4" t="s">
        <v>2245</v>
      </c>
      <c r="I4" t="s">
        <v>2291</v>
      </c>
      <c r="J4" t="s">
        <v>2292</v>
      </c>
      <c r="K4" t="s">
        <v>2293</v>
      </c>
      <c r="L4" t="s">
        <v>2294</v>
      </c>
      <c r="M4" t="s">
        <v>2250</v>
      </c>
      <c r="N4" t="s">
        <v>2251</v>
      </c>
      <c r="O4" t="s">
        <v>2252</v>
      </c>
      <c r="P4" t="s">
        <v>2295</v>
      </c>
      <c r="R4" t="s">
        <v>2296</v>
      </c>
      <c r="S4" t="s">
        <v>2297</v>
      </c>
      <c r="T4" t="s">
        <v>2298</v>
      </c>
      <c r="U4" t="s">
        <v>2251</v>
      </c>
      <c r="V4" t="s">
        <v>2257</v>
      </c>
      <c r="W4" t="s">
        <v>2299</v>
      </c>
      <c r="X4" t="s">
        <v>2300</v>
      </c>
      <c r="Y4" t="s">
        <v>2260</v>
      </c>
      <c r="Z4" t="s">
        <v>2300</v>
      </c>
      <c r="AA4" t="s">
        <v>2301</v>
      </c>
      <c r="AB4">
        <v>2600</v>
      </c>
      <c r="AC4" t="s">
        <v>2262</v>
      </c>
      <c r="AD4" t="s">
        <v>2262</v>
      </c>
      <c r="AE4" t="s">
        <v>2302</v>
      </c>
      <c r="AF4" t="s">
        <v>2303</v>
      </c>
      <c r="AG4" t="s">
        <v>2304</v>
      </c>
      <c r="AH4" t="s">
        <v>2305</v>
      </c>
      <c r="AI4" t="s">
        <v>2292</v>
      </c>
      <c r="AJ4" t="s">
        <v>2304</v>
      </c>
    </row>
    <row r="5" spans="1:36" x14ac:dyDescent="0.25">
      <c r="A5" t="s">
        <v>2306</v>
      </c>
      <c r="C5" t="s">
        <v>2307</v>
      </c>
      <c r="D5" t="s">
        <v>2308</v>
      </c>
      <c r="E5" t="s">
        <v>2302</v>
      </c>
      <c r="F5" t="s">
        <v>2243</v>
      </c>
      <c r="G5" t="s">
        <v>2244</v>
      </c>
      <c r="H5" t="s">
        <v>2245</v>
      </c>
      <c r="I5" t="s">
        <v>2291</v>
      </c>
      <c r="J5" t="s">
        <v>2292</v>
      </c>
      <c r="K5" t="s">
        <v>2293</v>
      </c>
      <c r="L5" t="s">
        <v>2294</v>
      </c>
      <c r="M5" t="s">
        <v>2250</v>
      </c>
      <c r="N5" t="s">
        <v>2251</v>
      </c>
      <c r="O5" t="s">
        <v>2252</v>
      </c>
      <c r="P5" t="s">
        <v>2309</v>
      </c>
      <c r="R5" t="s">
        <v>2310</v>
      </c>
      <c r="S5" t="s">
        <v>2311</v>
      </c>
      <c r="T5" t="s">
        <v>2312</v>
      </c>
      <c r="U5" t="s">
        <v>2251</v>
      </c>
      <c r="V5" t="s">
        <v>2257</v>
      </c>
      <c r="W5" t="s">
        <v>2313</v>
      </c>
      <c r="X5" t="s">
        <v>2314</v>
      </c>
      <c r="Y5" t="s">
        <v>2260</v>
      </c>
      <c r="Z5" t="s">
        <v>2314</v>
      </c>
      <c r="AA5" t="s">
        <v>2315</v>
      </c>
      <c r="AB5">
        <v>23500</v>
      </c>
      <c r="AC5" t="s">
        <v>2262</v>
      </c>
      <c r="AD5" t="s">
        <v>2262</v>
      </c>
      <c r="AE5" t="s">
        <v>2302</v>
      </c>
      <c r="AF5" t="s">
        <v>2303</v>
      </c>
      <c r="AG5" t="s">
        <v>2304</v>
      </c>
      <c r="AH5" t="s">
        <v>2305</v>
      </c>
      <c r="AI5" t="s">
        <v>2292</v>
      </c>
      <c r="AJ5" t="s">
        <v>2304</v>
      </c>
    </row>
    <row r="6" spans="1:36" x14ac:dyDescent="0.25">
      <c r="A6" t="s">
        <v>2316</v>
      </c>
      <c r="C6" t="s">
        <v>2307</v>
      </c>
      <c r="D6" t="s">
        <v>2308</v>
      </c>
      <c r="E6" t="s">
        <v>2302</v>
      </c>
      <c r="F6" t="s">
        <v>2243</v>
      </c>
      <c r="G6" t="s">
        <v>2244</v>
      </c>
      <c r="H6" t="s">
        <v>2245</v>
      </c>
      <c r="I6" t="s">
        <v>2291</v>
      </c>
      <c r="J6" t="s">
        <v>2292</v>
      </c>
      <c r="K6" t="s">
        <v>2293</v>
      </c>
      <c r="L6" t="s">
        <v>2294</v>
      </c>
      <c r="M6" t="s">
        <v>2250</v>
      </c>
      <c r="N6" t="s">
        <v>2251</v>
      </c>
      <c r="O6" t="s">
        <v>2252</v>
      </c>
      <c r="P6" t="s">
        <v>2317</v>
      </c>
      <c r="R6" t="s">
        <v>2318</v>
      </c>
      <c r="T6" t="s">
        <v>2319</v>
      </c>
      <c r="U6" t="s">
        <v>2251</v>
      </c>
      <c r="V6" t="s">
        <v>2257</v>
      </c>
      <c r="W6" t="s">
        <v>2320</v>
      </c>
      <c r="X6" t="s">
        <v>2321</v>
      </c>
      <c r="Y6" t="s">
        <v>2260</v>
      </c>
      <c r="Z6" t="s">
        <v>2321</v>
      </c>
      <c r="AA6" t="s">
        <v>2322</v>
      </c>
      <c r="AB6">
        <v>43000</v>
      </c>
      <c r="AC6" t="s">
        <v>2262</v>
      </c>
      <c r="AD6" t="s">
        <v>2262</v>
      </c>
      <c r="AE6" t="s">
        <v>2302</v>
      </c>
      <c r="AF6" t="s">
        <v>2303</v>
      </c>
      <c r="AG6" t="s">
        <v>2304</v>
      </c>
      <c r="AH6" t="s">
        <v>2305</v>
      </c>
      <c r="AI6" t="s">
        <v>2292</v>
      </c>
      <c r="AJ6" t="s">
        <v>2304</v>
      </c>
    </row>
    <row r="7" spans="1:36" x14ac:dyDescent="0.25">
      <c r="A7" t="s">
        <v>2323</v>
      </c>
      <c r="C7" t="s">
        <v>2324</v>
      </c>
      <c r="D7" t="s">
        <v>2325</v>
      </c>
      <c r="E7" t="s">
        <v>2302</v>
      </c>
      <c r="F7" t="s">
        <v>2243</v>
      </c>
      <c r="G7" t="s">
        <v>2244</v>
      </c>
      <c r="H7" t="s">
        <v>2245</v>
      </c>
      <c r="I7" t="s">
        <v>2326</v>
      </c>
      <c r="J7" t="s">
        <v>2327</v>
      </c>
      <c r="K7" t="s">
        <v>2274</v>
      </c>
      <c r="L7" t="s">
        <v>2328</v>
      </c>
      <c r="M7" t="s">
        <v>2250</v>
      </c>
      <c r="N7" t="s">
        <v>2251</v>
      </c>
      <c r="O7" t="s">
        <v>2252</v>
      </c>
      <c r="P7" t="s">
        <v>2329</v>
      </c>
      <c r="R7" t="s">
        <v>2330</v>
      </c>
      <c r="T7" t="s">
        <v>2331</v>
      </c>
      <c r="U7" t="s">
        <v>2251</v>
      </c>
      <c r="V7" t="s">
        <v>2257</v>
      </c>
      <c r="W7" t="s">
        <v>2332</v>
      </c>
      <c r="X7" t="s">
        <v>2333</v>
      </c>
      <c r="Y7" t="s">
        <v>2260</v>
      </c>
      <c r="Z7" t="s">
        <v>2333</v>
      </c>
      <c r="AA7" t="s">
        <v>2334</v>
      </c>
      <c r="AB7" s="58">
        <v>7500</v>
      </c>
      <c r="AC7" t="s">
        <v>2262</v>
      </c>
      <c r="AD7" t="s">
        <v>2262</v>
      </c>
      <c r="AE7" t="s">
        <v>2302</v>
      </c>
      <c r="AF7" t="s">
        <v>2335</v>
      </c>
      <c r="AG7" t="s">
        <v>2336</v>
      </c>
      <c r="AH7" t="s">
        <v>2305</v>
      </c>
      <c r="AI7" t="s">
        <v>2327</v>
      </c>
      <c r="AJ7" t="s">
        <v>2336</v>
      </c>
    </row>
    <row r="8" spans="1:36" x14ac:dyDescent="0.25">
      <c r="A8" t="s">
        <v>2337</v>
      </c>
      <c r="C8" t="s">
        <v>2324</v>
      </c>
      <c r="D8" t="s">
        <v>2325</v>
      </c>
      <c r="E8" t="s">
        <v>2302</v>
      </c>
      <c r="F8" t="s">
        <v>2243</v>
      </c>
      <c r="G8" t="s">
        <v>2244</v>
      </c>
      <c r="H8" t="s">
        <v>2245</v>
      </c>
      <c r="I8" t="s">
        <v>2326</v>
      </c>
      <c r="J8" t="s">
        <v>2327</v>
      </c>
      <c r="K8" t="s">
        <v>2274</v>
      </c>
      <c r="L8" t="s">
        <v>2328</v>
      </c>
      <c r="M8" t="s">
        <v>2250</v>
      </c>
      <c r="N8" t="s">
        <v>2251</v>
      </c>
      <c r="O8" t="s">
        <v>2252</v>
      </c>
      <c r="P8" t="s">
        <v>2338</v>
      </c>
      <c r="R8" t="s">
        <v>2339</v>
      </c>
      <c r="S8" t="s">
        <v>2340</v>
      </c>
      <c r="T8" t="s">
        <v>2341</v>
      </c>
      <c r="U8" t="s">
        <v>2251</v>
      </c>
      <c r="V8" t="s">
        <v>2257</v>
      </c>
      <c r="W8" t="s">
        <v>2342</v>
      </c>
      <c r="X8" t="s">
        <v>2343</v>
      </c>
      <c r="Y8" t="s">
        <v>2260</v>
      </c>
      <c r="Z8" t="s">
        <v>2343</v>
      </c>
      <c r="AA8" t="s">
        <v>2344</v>
      </c>
      <c r="AB8" s="58">
        <v>50000</v>
      </c>
      <c r="AC8" t="s">
        <v>2262</v>
      </c>
      <c r="AD8" t="s">
        <v>2262</v>
      </c>
      <c r="AE8" t="s">
        <v>2302</v>
      </c>
      <c r="AF8" t="s">
        <v>2335</v>
      </c>
      <c r="AG8" t="s">
        <v>2336</v>
      </c>
      <c r="AH8" t="s">
        <v>2305</v>
      </c>
      <c r="AI8" t="s">
        <v>2327</v>
      </c>
      <c r="AJ8" t="s">
        <v>2336</v>
      </c>
    </row>
    <row r="9" spans="1:36" x14ac:dyDescent="0.25">
      <c r="A9" t="s">
        <v>2345</v>
      </c>
      <c r="C9" t="s">
        <v>2324</v>
      </c>
      <c r="D9" t="s">
        <v>2325</v>
      </c>
      <c r="E9" t="s">
        <v>2302</v>
      </c>
      <c r="F9" t="s">
        <v>2243</v>
      </c>
      <c r="G9" t="s">
        <v>2244</v>
      </c>
      <c r="H9" t="s">
        <v>2245</v>
      </c>
      <c r="I9" t="s">
        <v>2326</v>
      </c>
      <c r="J9" t="s">
        <v>2327</v>
      </c>
      <c r="K9" t="s">
        <v>2274</v>
      </c>
      <c r="L9" t="s">
        <v>2328</v>
      </c>
      <c r="M9" t="s">
        <v>2250</v>
      </c>
      <c r="N9" t="s">
        <v>2251</v>
      </c>
      <c r="O9" t="s">
        <v>2252</v>
      </c>
      <c r="P9" t="s">
        <v>2346</v>
      </c>
      <c r="R9" t="s">
        <v>2347</v>
      </c>
      <c r="S9" t="s">
        <v>2348</v>
      </c>
      <c r="T9" t="s">
        <v>2349</v>
      </c>
      <c r="U9" t="s">
        <v>2251</v>
      </c>
      <c r="V9" t="s">
        <v>2257</v>
      </c>
      <c r="W9" t="s">
        <v>2350</v>
      </c>
      <c r="X9" t="s">
        <v>2351</v>
      </c>
      <c r="Y9" t="s">
        <v>2260</v>
      </c>
      <c r="Z9" t="s">
        <v>2351</v>
      </c>
      <c r="AA9" t="s">
        <v>2352</v>
      </c>
      <c r="AB9" s="58">
        <v>55000</v>
      </c>
      <c r="AC9" t="s">
        <v>2262</v>
      </c>
      <c r="AD9" t="s">
        <v>2262</v>
      </c>
      <c r="AE9" t="s">
        <v>2302</v>
      </c>
      <c r="AF9" t="s">
        <v>2335</v>
      </c>
      <c r="AG9" t="s">
        <v>2336</v>
      </c>
      <c r="AH9" t="s">
        <v>2305</v>
      </c>
      <c r="AI9" t="s">
        <v>2327</v>
      </c>
      <c r="AJ9" t="s">
        <v>2336</v>
      </c>
    </row>
    <row r="10" spans="1:36" x14ac:dyDescent="0.25">
      <c r="A10" t="s">
        <v>2353</v>
      </c>
      <c r="C10" t="s">
        <v>2324</v>
      </c>
      <c r="D10" t="s">
        <v>2325</v>
      </c>
      <c r="E10" t="s">
        <v>2302</v>
      </c>
      <c r="F10" t="s">
        <v>2243</v>
      </c>
      <c r="G10" t="s">
        <v>2244</v>
      </c>
      <c r="H10" t="s">
        <v>2245</v>
      </c>
      <c r="I10" t="s">
        <v>2326</v>
      </c>
      <c r="J10" t="s">
        <v>2327</v>
      </c>
      <c r="K10" t="s">
        <v>2274</v>
      </c>
      <c r="L10" t="s">
        <v>2328</v>
      </c>
      <c r="M10" t="s">
        <v>2250</v>
      </c>
      <c r="N10" t="s">
        <v>2251</v>
      </c>
      <c r="O10" t="s">
        <v>2252</v>
      </c>
      <c r="P10" t="s">
        <v>2309</v>
      </c>
      <c r="R10" t="s">
        <v>2310</v>
      </c>
      <c r="S10" t="s">
        <v>2311</v>
      </c>
      <c r="T10" t="s">
        <v>2354</v>
      </c>
      <c r="U10" t="s">
        <v>2251</v>
      </c>
      <c r="V10" t="s">
        <v>2257</v>
      </c>
      <c r="W10" t="s">
        <v>2355</v>
      </c>
      <c r="X10" t="s">
        <v>2356</v>
      </c>
      <c r="Y10" t="s">
        <v>2260</v>
      </c>
      <c r="Z10" t="s">
        <v>2356</v>
      </c>
      <c r="AA10" t="s">
        <v>2357</v>
      </c>
      <c r="AB10" s="58">
        <v>19000</v>
      </c>
      <c r="AC10" t="s">
        <v>2262</v>
      </c>
      <c r="AD10" t="s">
        <v>2262</v>
      </c>
      <c r="AE10" t="s">
        <v>2302</v>
      </c>
      <c r="AF10" t="s">
        <v>2335</v>
      </c>
      <c r="AG10" t="s">
        <v>2336</v>
      </c>
      <c r="AH10" t="s">
        <v>2305</v>
      </c>
      <c r="AI10" t="s">
        <v>2327</v>
      </c>
      <c r="AJ10" t="s">
        <v>2336</v>
      </c>
    </row>
    <row r="11" spans="1:36" x14ac:dyDescent="0.25">
      <c r="A11" t="s">
        <v>2358</v>
      </c>
      <c r="C11" t="s">
        <v>2324</v>
      </c>
      <c r="D11" t="s">
        <v>2325</v>
      </c>
      <c r="E11" t="s">
        <v>2302</v>
      </c>
      <c r="F11" t="s">
        <v>2243</v>
      </c>
      <c r="G11" t="s">
        <v>2244</v>
      </c>
      <c r="H11" t="s">
        <v>2245</v>
      </c>
      <c r="I11" t="s">
        <v>2326</v>
      </c>
      <c r="J11" t="s">
        <v>2327</v>
      </c>
      <c r="K11" t="s">
        <v>2274</v>
      </c>
      <c r="L11" t="s">
        <v>2328</v>
      </c>
      <c r="M11" t="s">
        <v>2250</v>
      </c>
      <c r="N11" t="s">
        <v>2251</v>
      </c>
      <c r="O11" t="s">
        <v>2252</v>
      </c>
      <c r="P11" t="s">
        <v>2317</v>
      </c>
      <c r="R11" t="s">
        <v>2318</v>
      </c>
      <c r="T11" t="s">
        <v>2359</v>
      </c>
      <c r="U11" t="s">
        <v>2251</v>
      </c>
      <c r="V11" t="s">
        <v>2257</v>
      </c>
      <c r="W11" t="s">
        <v>2360</v>
      </c>
      <c r="X11" t="s">
        <v>2361</v>
      </c>
      <c r="Y11" t="s">
        <v>2260</v>
      </c>
      <c r="Z11" t="s">
        <v>2361</v>
      </c>
      <c r="AA11" t="s">
        <v>2362</v>
      </c>
      <c r="AB11" s="58">
        <v>28800</v>
      </c>
      <c r="AC11" t="s">
        <v>2262</v>
      </c>
      <c r="AD11" t="s">
        <v>2262</v>
      </c>
      <c r="AE11" t="s">
        <v>2302</v>
      </c>
      <c r="AF11" t="s">
        <v>2335</v>
      </c>
      <c r="AG11" t="s">
        <v>2336</v>
      </c>
      <c r="AH11" t="s">
        <v>2305</v>
      </c>
      <c r="AI11" t="s">
        <v>2327</v>
      </c>
      <c r="AJ11" t="s">
        <v>2336</v>
      </c>
    </row>
    <row r="12" spans="1:36" x14ac:dyDescent="0.25">
      <c r="A12" t="s">
        <v>2363</v>
      </c>
      <c r="C12" t="s">
        <v>2364</v>
      </c>
      <c r="D12" t="s">
        <v>2365</v>
      </c>
      <c r="E12" t="s">
        <v>2366</v>
      </c>
      <c r="F12" t="s">
        <v>2243</v>
      </c>
      <c r="G12" t="s">
        <v>2244</v>
      </c>
      <c r="H12" t="s">
        <v>2245</v>
      </c>
      <c r="I12" t="s">
        <v>2326</v>
      </c>
      <c r="J12" t="s">
        <v>2327</v>
      </c>
      <c r="K12" t="s">
        <v>2274</v>
      </c>
      <c r="L12" t="s">
        <v>2328</v>
      </c>
      <c r="M12" t="s">
        <v>2250</v>
      </c>
      <c r="N12" t="s">
        <v>2251</v>
      </c>
      <c r="O12" t="s">
        <v>2252</v>
      </c>
      <c r="P12" t="s">
        <v>2367</v>
      </c>
      <c r="R12" t="s">
        <v>2368</v>
      </c>
      <c r="S12" t="s">
        <v>2369</v>
      </c>
      <c r="T12" t="s">
        <v>2370</v>
      </c>
      <c r="U12" t="s">
        <v>2251</v>
      </c>
      <c r="V12" t="s">
        <v>2257</v>
      </c>
      <c r="W12" t="s">
        <v>2371</v>
      </c>
      <c r="X12" t="s">
        <v>2372</v>
      </c>
      <c r="Y12" t="s">
        <v>2260</v>
      </c>
      <c r="Z12" t="s">
        <v>2372</v>
      </c>
      <c r="AA12" t="s">
        <v>2373</v>
      </c>
      <c r="AB12" s="58">
        <v>26500</v>
      </c>
      <c r="AC12" t="s">
        <v>2262</v>
      </c>
      <c r="AD12" t="s">
        <v>2262</v>
      </c>
      <c r="AE12" t="s">
        <v>2366</v>
      </c>
      <c r="AF12" t="s">
        <v>2335</v>
      </c>
      <c r="AG12" t="s">
        <v>2336</v>
      </c>
      <c r="AH12" t="s">
        <v>2305</v>
      </c>
      <c r="AI12" t="s">
        <v>2327</v>
      </c>
      <c r="AJ12" t="s">
        <v>2336</v>
      </c>
    </row>
    <row r="13" spans="1:36" x14ac:dyDescent="0.25">
      <c r="A13" t="s">
        <v>2374</v>
      </c>
      <c r="C13" t="s">
        <v>2364</v>
      </c>
      <c r="D13" t="s">
        <v>2365</v>
      </c>
      <c r="E13" t="s">
        <v>2366</v>
      </c>
      <c r="F13" t="s">
        <v>2243</v>
      </c>
      <c r="G13" t="s">
        <v>2244</v>
      </c>
      <c r="H13" t="s">
        <v>2245</v>
      </c>
      <c r="I13" t="s">
        <v>2326</v>
      </c>
      <c r="J13" t="s">
        <v>2327</v>
      </c>
      <c r="K13" t="s">
        <v>2274</v>
      </c>
      <c r="L13" t="s">
        <v>2328</v>
      </c>
      <c r="M13" t="s">
        <v>2250</v>
      </c>
      <c r="N13" t="s">
        <v>2251</v>
      </c>
      <c r="O13" t="s">
        <v>2252</v>
      </c>
      <c r="P13" t="s">
        <v>2367</v>
      </c>
      <c r="R13" t="s">
        <v>2368</v>
      </c>
      <c r="S13" t="s">
        <v>2369</v>
      </c>
      <c r="T13" t="s">
        <v>2375</v>
      </c>
      <c r="U13" t="s">
        <v>2251</v>
      </c>
      <c r="V13" t="s">
        <v>2257</v>
      </c>
      <c r="W13" t="s">
        <v>2371</v>
      </c>
      <c r="X13" t="s">
        <v>2372</v>
      </c>
      <c r="Y13" t="s">
        <v>2260</v>
      </c>
      <c r="Z13" t="s">
        <v>2372</v>
      </c>
      <c r="AA13" t="s">
        <v>2373</v>
      </c>
      <c r="AB13" s="58">
        <v>26500</v>
      </c>
      <c r="AC13" t="s">
        <v>2262</v>
      </c>
      <c r="AD13" t="s">
        <v>2262</v>
      </c>
      <c r="AE13" t="s">
        <v>2366</v>
      </c>
      <c r="AF13" t="s">
        <v>2335</v>
      </c>
      <c r="AG13" t="s">
        <v>2336</v>
      </c>
      <c r="AH13" t="s">
        <v>2305</v>
      </c>
      <c r="AI13" t="s">
        <v>2327</v>
      </c>
      <c r="AJ13" t="s">
        <v>2336</v>
      </c>
    </row>
    <row r="14" spans="1:36" x14ac:dyDescent="0.25">
      <c r="A14" t="s">
        <v>2376</v>
      </c>
      <c r="C14" t="s">
        <v>2364</v>
      </c>
      <c r="D14" t="s">
        <v>2365</v>
      </c>
      <c r="E14" t="s">
        <v>2366</v>
      </c>
      <c r="F14" t="s">
        <v>2243</v>
      </c>
      <c r="G14" t="s">
        <v>2244</v>
      </c>
      <c r="H14" t="s">
        <v>2245</v>
      </c>
      <c r="I14" t="s">
        <v>2326</v>
      </c>
      <c r="J14" t="s">
        <v>2327</v>
      </c>
      <c r="K14" t="s">
        <v>2274</v>
      </c>
      <c r="L14" t="s">
        <v>2328</v>
      </c>
      <c r="M14" t="s">
        <v>2250</v>
      </c>
      <c r="N14" t="s">
        <v>2251</v>
      </c>
      <c r="O14" t="s">
        <v>2252</v>
      </c>
      <c r="P14" t="s">
        <v>2377</v>
      </c>
      <c r="R14" t="s">
        <v>2378</v>
      </c>
      <c r="S14" t="s">
        <v>2379</v>
      </c>
      <c r="T14" t="s">
        <v>2380</v>
      </c>
      <c r="U14" t="s">
        <v>2251</v>
      </c>
      <c r="V14" t="s">
        <v>2257</v>
      </c>
      <c r="W14" t="s">
        <v>2381</v>
      </c>
      <c r="X14" t="s">
        <v>2382</v>
      </c>
      <c r="Y14" t="s">
        <v>2260</v>
      </c>
      <c r="Z14" t="s">
        <v>2382</v>
      </c>
      <c r="AA14" t="s">
        <v>2383</v>
      </c>
      <c r="AB14" s="58">
        <v>28973</v>
      </c>
      <c r="AC14" t="s">
        <v>2262</v>
      </c>
      <c r="AD14" t="s">
        <v>2262</v>
      </c>
      <c r="AE14" t="s">
        <v>2366</v>
      </c>
      <c r="AF14" t="s">
        <v>2335</v>
      </c>
      <c r="AG14" t="s">
        <v>2336</v>
      </c>
      <c r="AH14" t="s">
        <v>2305</v>
      </c>
      <c r="AI14" t="s">
        <v>2327</v>
      </c>
      <c r="AJ14" t="s">
        <v>2336</v>
      </c>
    </row>
    <row r="15" spans="1:36" x14ac:dyDescent="0.25">
      <c r="A15" t="s">
        <v>2384</v>
      </c>
      <c r="C15" t="s">
        <v>2385</v>
      </c>
      <c r="D15" t="s">
        <v>2386</v>
      </c>
      <c r="E15" t="s">
        <v>2387</v>
      </c>
      <c r="F15" t="s">
        <v>2243</v>
      </c>
      <c r="G15" t="s">
        <v>2244</v>
      </c>
      <c r="H15" t="s">
        <v>2245</v>
      </c>
      <c r="I15" t="s">
        <v>2388</v>
      </c>
      <c r="J15" t="s">
        <v>2389</v>
      </c>
      <c r="K15" t="s">
        <v>2390</v>
      </c>
      <c r="L15" t="s">
        <v>2391</v>
      </c>
      <c r="M15" t="s">
        <v>2250</v>
      </c>
      <c r="N15" t="s">
        <v>2251</v>
      </c>
      <c r="O15" t="s">
        <v>2252</v>
      </c>
      <c r="P15" t="s">
        <v>2392</v>
      </c>
      <c r="R15" t="s">
        <v>2310</v>
      </c>
      <c r="U15" t="s">
        <v>2251</v>
      </c>
      <c r="V15" t="s">
        <v>2257</v>
      </c>
      <c r="W15" t="s">
        <v>2313</v>
      </c>
      <c r="X15" t="s">
        <v>2314</v>
      </c>
      <c r="Y15" t="s">
        <v>2260</v>
      </c>
      <c r="Z15" t="s">
        <v>2314</v>
      </c>
      <c r="AA15" t="s">
        <v>2315</v>
      </c>
      <c r="AB15" s="58">
        <v>23500</v>
      </c>
      <c r="AC15" t="s">
        <v>2262</v>
      </c>
      <c r="AD15" t="s">
        <v>2262</v>
      </c>
      <c r="AE15" t="s">
        <v>2393</v>
      </c>
      <c r="AF15" t="s">
        <v>2394</v>
      </c>
      <c r="AG15" t="s">
        <v>2395</v>
      </c>
      <c r="AH15" t="s">
        <v>2305</v>
      </c>
      <c r="AI15" t="s">
        <v>2389</v>
      </c>
      <c r="AJ15" t="s">
        <v>2395</v>
      </c>
    </row>
    <row r="16" spans="1:36" x14ac:dyDescent="0.25">
      <c r="A16" t="s">
        <v>2396</v>
      </c>
      <c r="C16" t="s">
        <v>2385</v>
      </c>
      <c r="D16" t="s">
        <v>2386</v>
      </c>
      <c r="E16" t="s">
        <v>2387</v>
      </c>
      <c r="F16" t="s">
        <v>2243</v>
      </c>
      <c r="G16" t="s">
        <v>2244</v>
      </c>
      <c r="H16" t="s">
        <v>2245</v>
      </c>
      <c r="I16" t="s">
        <v>2388</v>
      </c>
      <c r="J16" t="s">
        <v>2389</v>
      </c>
      <c r="K16" t="s">
        <v>2390</v>
      </c>
      <c r="L16" t="s">
        <v>2391</v>
      </c>
      <c r="M16" t="s">
        <v>2250</v>
      </c>
      <c r="N16" t="s">
        <v>2251</v>
      </c>
      <c r="O16" t="s">
        <v>2252</v>
      </c>
      <c r="P16" t="s">
        <v>2397</v>
      </c>
      <c r="R16" t="s">
        <v>2398</v>
      </c>
      <c r="U16" t="s">
        <v>2399</v>
      </c>
      <c r="V16" t="s">
        <v>2257</v>
      </c>
      <c r="W16" t="s">
        <v>2400</v>
      </c>
      <c r="X16" t="s">
        <v>2401</v>
      </c>
      <c r="Y16" t="s">
        <v>2260</v>
      </c>
      <c r="Z16" t="s">
        <v>2402</v>
      </c>
      <c r="AA16" t="s">
        <v>2403</v>
      </c>
      <c r="AB16" s="58">
        <v>1500</v>
      </c>
      <c r="AC16" t="s">
        <v>2262</v>
      </c>
      <c r="AD16" t="s">
        <v>2262</v>
      </c>
      <c r="AE16" t="s">
        <v>2393</v>
      </c>
      <c r="AF16" t="s">
        <v>2394</v>
      </c>
      <c r="AG16" t="s">
        <v>2395</v>
      </c>
      <c r="AH16" t="s">
        <v>2305</v>
      </c>
      <c r="AI16" t="s">
        <v>2389</v>
      </c>
      <c r="AJ16" t="s">
        <v>2395</v>
      </c>
    </row>
    <row r="17" spans="1:36" x14ac:dyDescent="0.25">
      <c r="A17" t="s">
        <v>2404</v>
      </c>
      <c r="C17" t="s">
        <v>2385</v>
      </c>
      <c r="D17" t="s">
        <v>2386</v>
      </c>
      <c r="E17" t="s">
        <v>2387</v>
      </c>
      <c r="F17" t="s">
        <v>2243</v>
      </c>
      <c r="G17" t="s">
        <v>2244</v>
      </c>
      <c r="H17" t="s">
        <v>2245</v>
      </c>
      <c r="I17" t="s">
        <v>2388</v>
      </c>
      <c r="J17" t="s">
        <v>2389</v>
      </c>
      <c r="K17" t="s">
        <v>2390</v>
      </c>
      <c r="L17" t="s">
        <v>2391</v>
      </c>
      <c r="M17" t="s">
        <v>2250</v>
      </c>
      <c r="N17" t="s">
        <v>2251</v>
      </c>
      <c r="O17" t="s">
        <v>2252</v>
      </c>
      <c r="P17" t="s">
        <v>2317</v>
      </c>
      <c r="R17" t="s">
        <v>2318</v>
      </c>
      <c r="T17" t="s">
        <v>2405</v>
      </c>
      <c r="U17" t="s">
        <v>2251</v>
      </c>
      <c r="V17" t="s">
        <v>2257</v>
      </c>
      <c r="W17" t="s">
        <v>2320</v>
      </c>
      <c r="X17" t="s">
        <v>2321</v>
      </c>
      <c r="Y17" t="s">
        <v>2260</v>
      </c>
      <c r="Z17" t="s">
        <v>2321</v>
      </c>
      <c r="AA17" t="s">
        <v>2322</v>
      </c>
      <c r="AB17" s="58">
        <v>43000</v>
      </c>
      <c r="AC17" t="s">
        <v>2262</v>
      </c>
      <c r="AD17" t="s">
        <v>2262</v>
      </c>
      <c r="AE17" t="s">
        <v>2393</v>
      </c>
      <c r="AF17" t="s">
        <v>2394</v>
      </c>
      <c r="AG17" t="s">
        <v>2395</v>
      </c>
      <c r="AH17" t="s">
        <v>2305</v>
      </c>
      <c r="AI17" t="s">
        <v>2389</v>
      </c>
      <c r="AJ17" t="s">
        <v>2395</v>
      </c>
    </row>
    <row r="18" spans="1:36" x14ac:dyDescent="0.25">
      <c r="A18" t="s">
        <v>2406</v>
      </c>
      <c r="C18" t="s">
        <v>2385</v>
      </c>
      <c r="D18" t="s">
        <v>2386</v>
      </c>
      <c r="E18" t="s">
        <v>2387</v>
      </c>
      <c r="F18" t="s">
        <v>2243</v>
      </c>
      <c r="G18" t="s">
        <v>2244</v>
      </c>
      <c r="H18" t="s">
        <v>2245</v>
      </c>
      <c r="I18" t="s">
        <v>2388</v>
      </c>
      <c r="J18" t="s">
        <v>2389</v>
      </c>
      <c r="K18" t="s">
        <v>2390</v>
      </c>
      <c r="L18" t="s">
        <v>2391</v>
      </c>
      <c r="M18" t="s">
        <v>2250</v>
      </c>
      <c r="N18" t="s">
        <v>2251</v>
      </c>
      <c r="O18" t="s">
        <v>2252</v>
      </c>
      <c r="P18" t="s">
        <v>2407</v>
      </c>
      <c r="R18" t="s">
        <v>2408</v>
      </c>
      <c r="T18" t="s">
        <v>2409</v>
      </c>
      <c r="U18" t="s">
        <v>2251</v>
      </c>
      <c r="V18" t="s">
        <v>2257</v>
      </c>
      <c r="W18" t="s">
        <v>2313</v>
      </c>
      <c r="X18" t="s">
        <v>2314</v>
      </c>
      <c r="Y18" t="s">
        <v>2260</v>
      </c>
      <c r="Z18" t="s">
        <v>2314</v>
      </c>
      <c r="AA18" t="s">
        <v>2315</v>
      </c>
      <c r="AB18" s="58">
        <v>23500</v>
      </c>
      <c r="AC18" t="s">
        <v>2262</v>
      </c>
      <c r="AD18" t="s">
        <v>2262</v>
      </c>
      <c r="AE18" t="s">
        <v>2393</v>
      </c>
      <c r="AF18" t="s">
        <v>2394</v>
      </c>
      <c r="AG18" t="s">
        <v>2395</v>
      </c>
      <c r="AH18" t="s">
        <v>2305</v>
      </c>
      <c r="AI18" t="s">
        <v>2389</v>
      </c>
      <c r="AJ18" t="s">
        <v>2395</v>
      </c>
    </row>
    <row r="19" spans="1:36" x14ac:dyDescent="0.25">
      <c r="A19" t="s">
        <v>2410</v>
      </c>
      <c r="C19" t="s">
        <v>2411</v>
      </c>
      <c r="D19" t="s">
        <v>2412</v>
      </c>
      <c r="E19" t="s">
        <v>2413</v>
      </c>
      <c r="F19" t="s">
        <v>2243</v>
      </c>
      <c r="G19" t="s">
        <v>2244</v>
      </c>
      <c r="H19" t="s">
        <v>2245</v>
      </c>
      <c r="I19" t="s">
        <v>2326</v>
      </c>
      <c r="J19" t="s">
        <v>2327</v>
      </c>
      <c r="K19" t="s">
        <v>2274</v>
      </c>
      <c r="L19" t="s">
        <v>2328</v>
      </c>
      <c r="M19" t="s">
        <v>2250</v>
      </c>
      <c r="N19" t="s">
        <v>2251</v>
      </c>
      <c r="O19" t="s">
        <v>2252</v>
      </c>
      <c r="P19" t="s">
        <v>2407</v>
      </c>
      <c r="R19" t="s">
        <v>2408</v>
      </c>
      <c r="T19" t="s">
        <v>2414</v>
      </c>
      <c r="U19" t="s">
        <v>2251</v>
      </c>
      <c r="V19" t="s">
        <v>2257</v>
      </c>
      <c r="W19" t="s">
        <v>2415</v>
      </c>
      <c r="X19" t="s">
        <v>2416</v>
      </c>
      <c r="Y19" t="s">
        <v>2260</v>
      </c>
      <c r="Z19" t="s">
        <v>2416</v>
      </c>
      <c r="AA19" t="s">
        <v>2417</v>
      </c>
      <c r="AB19" s="58">
        <v>26000</v>
      </c>
      <c r="AC19" t="s">
        <v>2262</v>
      </c>
      <c r="AD19" t="s">
        <v>2262</v>
      </c>
      <c r="AE19" t="s">
        <v>2393</v>
      </c>
      <c r="AF19" t="s">
        <v>2335</v>
      </c>
      <c r="AG19" t="s">
        <v>2336</v>
      </c>
      <c r="AH19" t="s">
        <v>2305</v>
      </c>
      <c r="AI19" t="s">
        <v>2327</v>
      </c>
      <c r="AJ19" t="s">
        <v>2336</v>
      </c>
    </row>
    <row r="20" spans="1:36" x14ac:dyDescent="0.25">
      <c r="A20" t="s">
        <v>2418</v>
      </c>
      <c r="D20" t="s">
        <v>2419</v>
      </c>
      <c r="E20" t="s">
        <v>2393</v>
      </c>
      <c r="F20" t="s">
        <v>2270</v>
      </c>
      <c r="G20" t="s">
        <v>2271</v>
      </c>
      <c r="H20" t="s">
        <v>2245</v>
      </c>
      <c r="I20" t="s">
        <v>2246</v>
      </c>
      <c r="J20" t="s">
        <v>2247</v>
      </c>
      <c r="K20" t="s">
        <v>2248</v>
      </c>
      <c r="L20" t="s">
        <v>2249</v>
      </c>
      <c r="M20" t="s">
        <v>2250</v>
      </c>
      <c r="N20" t="s">
        <v>2251</v>
      </c>
      <c r="P20" t="s">
        <v>2276</v>
      </c>
      <c r="R20" t="s">
        <v>2277</v>
      </c>
      <c r="U20" t="s">
        <v>2278</v>
      </c>
      <c r="V20" t="s">
        <v>2257</v>
      </c>
      <c r="W20" t="s">
        <v>2420</v>
      </c>
      <c r="X20" t="s">
        <v>2421</v>
      </c>
      <c r="Y20" t="s">
        <v>2260</v>
      </c>
      <c r="Z20" t="s">
        <v>2422</v>
      </c>
      <c r="AA20" t="s">
        <v>2423</v>
      </c>
      <c r="AB20" s="57">
        <v>-240790</v>
      </c>
      <c r="AC20" t="s">
        <v>2283</v>
      </c>
      <c r="AD20" t="s">
        <v>2283</v>
      </c>
      <c r="AF20" t="s">
        <v>2264</v>
      </c>
      <c r="AG20" t="s">
        <v>2265</v>
      </c>
      <c r="AH20" t="s">
        <v>2424</v>
      </c>
      <c r="AI20" t="s">
        <v>2247</v>
      </c>
      <c r="AJ20" t="s">
        <v>2265</v>
      </c>
    </row>
  </sheetData>
  <autoFilter ref="C1:AJ20" xr:uid="{0573A5B0-0014-4F3D-8E27-ABEAB5230A46}"/>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59999389629810485"/>
  </sheetPr>
  <dimension ref="A1:X522"/>
  <sheetViews>
    <sheetView showGridLines="0" tabSelected="1" zoomScale="85" zoomScaleNormal="85" workbookViewId="0">
      <pane ySplit="1" topLeftCell="A476" activePane="bottomLeft" state="frozen"/>
      <selection pane="bottomLeft" activeCell="D496" sqref="D496"/>
    </sheetView>
  </sheetViews>
  <sheetFormatPr defaultColWidth="9" defaultRowHeight="15" x14ac:dyDescent="0.25"/>
  <cols>
    <col min="1" max="1" width="5.54296875" style="5" bestFit="1" customWidth="1"/>
    <col min="2" max="2" width="8.08984375" style="5" bestFit="1" customWidth="1"/>
    <col min="3" max="3" width="27.81640625" style="5" customWidth="1"/>
    <col min="4" max="4" width="13.7265625" style="5" bestFit="1" customWidth="1"/>
    <col min="5" max="5" width="13.6328125" style="5" customWidth="1"/>
    <col min="6" max="6" width="10.26953125" style="5" customWidth="1"/>
    <col min="7" max="7" width="7.453125" style="5" customWidth="1"/>
    <col min="8" max="8" width="8.453125" style="5" customWidth="1"/>
    <col min="9" max="9" width="9" style="5" customWidth="1"/>
    <col min="10" max="10" width="32.26953125" style="5" customWidth="1"/>
    <col min="11" max="11" width="12" style="5" customWidth="1"/>
    <col min="12" max="12" width="12.54296875" style="6" customWidth="1"/>
    <col min="13" max="13" width="11.54296875" style="5" customWidth="1"/>
    <col min="14" max="14" width="23.81640625" style="6" customWidth="1"/>
    <col min="15" max="16" width="6.08984375" style="5" customWidth="1"/>
    <col min="17" max="17" width="12.1796875" style="33" customWidth="1"/>
    <col min="18" max="18" width="21.453125" style="5" customWidth="1"/>
    <col min="19" max="19" width="27.26953125" style="5" hidden="1" customWidth="1"/>
    <col min="20" max="20" width="30.6328125" style="23" customWidth="1"/>
    <col min="21" max="21" width="13.1796875" style="33" customWidth="1"/>
    <col min="22" max="22" width="13.08984375" style="5" customWidth="1"/>
    <col min="23" max="23" width="12.26953125" style="5" bestFit="1" customWidth="1"/>
    <col min="24" max="16384" width="9" style="5"/>
  </cols>
  <sheetData>
    <row r="1" spans="1:24" s="13" customFormat="1" ht="30" customHeight="1" x14ac:dyDescent="0.25">
      <c r="A1" s="14" t="s">
        <v>0</v>
      </c>
      <c r="B1" s="22" t="s">
        <v>291</v>
      </c>
      <c r="C1" s="14" t="s">
        <v>1</v>
      </c>
      <c r="D1" s="14" t="s">
        <v>290</v>
      </c>
      <c r="E1" s="14" t="s">
        <v>14</v>
      </c>
      <c r="F1" s="14" t="s">
        <v>24</v>
      </c>
      <c r="G1" s="14" t="s">
        <v>5</v>
      </c>
      <c r="H1" s="22" t="s">
        <v>617</v>
      </c>
      <c r="I1" s="22" t="s">
        <v>382</v>
      </c>
      <c r="J1" s="14" t="s">
        <v>2</v>
      </c>
      <c r="K1" s="22" t="s">
        <v>410</v>
      </c>
      <c r="L1" s="15" t="s">
        <v>3</v>
      </c>
      <c r="M1" s="14" t="s">
        <v>7</v>
      </c>
      <c r="N1" s="16" t="s">
        <v>1459</v>
      </c>
      <c r="O1" s="30" t="s">
        <v>51</v>
      </c>
      <c r="P1" s="24" t="s">
        <v>848</v>
      </c>
      <c r="Q1" s="24" t="s">
        <v>1211</v>
      </c>
      <c r="R1" s="24" t="s">
        <v>383</v>
      </c>
      <c r="S1" s="24" t="s">
        <v>2828</v>
      </c>
      <c r="T1" s="24" t="s">
        <v>384</v>
      </c>
      <c r="U1" s="46" t="s">
        <v>1317</v>
      </c>
      <c r="V1" s="44" t="s">
        <v>866</v>
      </c>
      <c r="X1" s="45"/>
    </row>
    <row r="2" spans="1:24" ht="30" customHeight="1" x14ac:dyDescent="0.25">
      <c r="A2" s="17">
        <f>SUBTOTAL(103,B$2:B2)*1</f>
        <v>1</v>
      </c>
      <c r="B2" s="17" t="s">
        <v>292</v>
      </c>
      <c r="C2" s="18" t="s">
        <v>34</v>
      </c>
      <c r="D2" s="17" t="s">
        <v>30</v>
      </c>
      <c r="E2" s="17" t="s">
        <v>9</v>
      </c>
      <c r="F2" s="17"/>
      <c r="G2" s="17" t="s">
        <v>625</v>
      </c>
      <c r="H2" s="17" t="s">
        <v>619</v>
      </c>
      <c r="I2" s="17" t="s">
        <v>663</v>
      </c>
      <c r="J2" s="17" t="s">
        <v>35</v>
      </c>
      <c r="K2" s="17" t="s">
        <v>404</v>
      </c>
      <c r="L2" s="19">
        <v>12000000</v>
      </c>
      <c r="M2" s="17" t="s">
        <v>1460</v>
      </c>
      <c r="N2" s="19">
        <v>9289000</v>
      </c>
      <c r="O2" s="17" t="s">
        <v>54</v>
      </c>
      <c r="P2" s="17"/>
      <c r="Q2" s="28">
        <v>45700</v>
      </c>
      <c r="R2" s="17" t="s">
        <v>475</v>
      </c>
      <c r="S2" s="18" t="s">
        <v>2427</v>
      </c>
      <c r="T2" s="20"/>
      <c r="U2" s="28"/>
      <c r="V2" s="17"/>
    </row>
    <row r="3" spans="1:24" ht="30" customHeight="1" x14ac:dyDescent="0.25">
      <c r="A3" s="17">
        <f>SUBTOTAL(103,B$2:B3)*1</f>
        <v>2</v>
      </c>
      <c r="B3" s="17" t="s">
        <v>292</v>
      </c>
      <c r="C3" s="18" t="s">
        <v>181</v>
      </c>
      <c r="D3" s="17" t="s">
        <v>30</v>
      </c>
      <c r="E3" s="17" t="s">
        <v>9</v>
      </c>
      <c r="F3" s="17"/>
      <c r="G3" s="17" t="s">
        <v>625</v>
      </c>
      <c r="H3" s="17" t="s">
        <v>619</v>
      </c>
      <c r="I3" s="17" t="s">
        <v>663</v>
      </c>
      <c r="J3" s="17" t="s">
        <v>35</v>
      </c>
      <c r="K3" s="17" t="s">
        <v>404</v>
      </c>
      <c r="L3" s="19"/>
      <c r="M3" s="17" t="s">
        <v>1460</v>
      </c>
      <c r="N3" s="19">
        <v>4780950.3899999997</v>
      </c>
      <c r="O3" s="17"/>
      <c r="P3" s="17"/>
      <c r="Q3" s="28">
        <v>45896</v>
      </c>
      <c r="R3" s="17" t="s">
        <v>475</v>
      </c>
      <c r="S3" s="63" t="s">
        <v>2428</v>
      </c>
      <c r="T3" s="20"/>
      <c r="U3" s="28"/>
      <c r="V3" s="17"/>
    </row>
    <row r="4" spans="1:24" ht="30" customHeight="1" x14ac:dyDescent="0.25">
      <c r="A4" s="17">
        <f>SUBTOTAL(103,B$2:B4)*1</f>
        <v>3</v>
      </c>
      <c r="B4" s="17" t="s">
        <v>292</v>
      </c>
      <c r="C4" s="18" t="s">
        <v>4</v>
      </c>
      <c r="D4" s="17" t="s">
        <v>30</v>
      </c>
      <c r="E4" s="17" t="s">
        <v>9</v>
      </c>
      <c r="F4" s="17"/>
      <c r="G4" s="17" t="s">
        <v>6</v>
      </c>
      <c r="H4" s="17" t="s">
        <v>618</v>
      </c>
      <c r="I4" s="17" t="s">
        <v>657</v>
      </c>
      <c r="J4" s="17" t="s">
        <v>402</v>
      </c>
      <c r="K4" s="17" t="s">
        <v>404</v>
      </c>
      <c r="L4" s="19"/>
      <c r="M4" s="17" t="s">
        <v>1460</v>
      </c>
      <c r="N4" s="19">
        <v>10200284</v>
      </c>
      <c r="O4" s="17" t="s">
        <v>54</v>
      </c>
      <c r="P4" s="17"/>
      <c r="Q4" s="28">
        <v>45750</v>
      </c>
      <c r="R4" s="17" t="s">
        <v>475</v>
      </c>
      <c r="S4" s="18" t="s">
        <v>2429</v>
      </c>
      <c r="T4" s="20"/>
      <c r="U4" s="28">
        <v>45957</v>
      </c>
      <c r="V4" s="28"/>
    </row>
    <row r="5" spans="1:24" ht="45" x14ac:dyDescent="0.25">
      <c r="A5" s="17">
        <f>SUBTOTAL(103,B$2:B5)*1</f>
        <v>4</v>
      </c>
      <c r="B5" s="17" t="s">
        <v>292</v>
      </c>
      <c r="C5" s="18" t="s">
        <v>1280</v>
      </c>
      <c r="D5" s="17" t="s">
        <v>30</v>
      </c>
      <c r="E5" s="17" t="s">
        <v>9</v>
      </c>
      <c r="F5" s="17"/>
      <c r="G5" s="17" t="s">
        <v>32</v>
      </c>
      <c r="H5" s="17" t="s">
        <v>622</v>
      </c>
      <c r="I5" s="17" t="s">
        <v>498</v>
      </c>
      <c r="J5" s="17" t="s">
        <v>431</v>
      </c>
      <c r="K5" s="17" t="s">
        <v>432</v>
      </c>
      <c r="L5" s="19">
        <v>3800000</v>
      </c>
      <c r="M5" s="17" t="s">
        <v>1460</v>
      </c>
      <c r="N5" s="19">
        <v>3564000</v>
      </c>
      <c r="O5" s="17" t="s">
        <v>54</v>
      </c>
      <c r="P5" s="17"/>
      <c r="Q5" s="28">
        <v>45908</v>
      </c>
      <c r="R5" s="17" t="s">
        <v>475</v>
      </c>
      <c r="S5" s="18" t="s">
        <v>2430</v>
      </c>
      <c r="T5" s="20"/>
      <c r="U5" s="28">
        <v>45929</v>
      </c>
      <c r="V5" s="28"/>
    </row>
    <row r="6" spans="1:24" ht="30" customHeight="1" x14ac:dyDescent="0.25">
      <c r="A6" s="17">
        <f>SUBTOTAL(103,B$2:B6)*1</f>
        <v>5</v>
      </c>
      <c r="B6" s="17" t="s">
        <v>292</v>
      </c>
      <c r="C6" s="18" t="s">
        <v>68</v>
      </c>
      <c r="D6" s="17" t="s">
        <v>13</v>
      </c>
      <c r="E6" s="17" t="s">
        <v>21</v>
      </c>
      <c r="F6" s="17"/>
      <c r="G6" s="17" t="s">
        <v>25</v>
      </c>
      <c r="H6" s="17" t="s">
        <v>618</v>
      </c>
      <c r="I6" s="17" t="s">
        <v>632</v>
      </c>
      <c r="J6" s="17" t="s">
        <v>69</v>
      </c>
      <c r="K6" s="17" t="s">
        <v>404</v>
      </c>
      <c r="L6" s="19">
        <v>700000</v>
      </c>
      <c r="M6" s="17" t="s">
        <v>1460</v>
      </c>
      <c r="N6" s="19">
        <v>640000</v>
      </c>
      <c r="O6" s="17"/>
      <c r="P6" s="17"/>
      <c r="Q6" s="28">
        <v>45765</v>
      </c>
      <c r="R6" s="17" t="s">
        <v>482</v>
      </c>
      <c r="S6" s="18" t="s">
        <v>2431</v>
      </c>
      <c r="T6" s="20"/>
      <c r="U6" s="28">
        <v>45799</v>
      </c>
      <c r="V6" s="28"/>
    </row>
    <row r="7" spans="1:24" ht="30" customHeight="1" x14ac:dyDescent="0.25">
      <c r="A7" s="17">
        <f>SUBTOTAL(103,B$2:B7)*1</f>
        <v>6</v>
      </c>
      <c r="B7" s="17" t="s">
        <v>292</v>
      </c>
      <c r="C7" s="18" t="s">
        <v>994</v>
      </c>
      <c r="D7" s="17" t="s">
        <v>13</v>
      </c>
      <c r="E7" s="17" t="s">
        <v>21</v>
      </c>
      <c r="F7" s="17"/>
      <c r="G7" s="17" t="s">
        <v>22</v>
      </c>
      <c r="H7" s="17" t="s">
        <v>618</v>
      </c>
      <c r="I7" s="17" t="s">
        <v>388</v>
      </c>
      <c r="J7" s="17" t="s">
        <v>420</v>
      </c>
      <c r="K7" s="17" t="s">
        <v>404</v>
      </c>
      <c r="L7" s="19">
        <v>2000000</v>
      </c>
      <c r="M7" s="17" t="s">
        <v>1460</v>
      </c>
      <c r="N7" s="19">
        <v>868000</v>
      </c>
      <c r="O7" s="17">
        <v>6</v>
      </c>
      <c r="P7" s="17"/>
      <c r="Q7" s="28">
        <v>45835</v>
      </c>
      <c r="R7" s="17" t="s">
        <v>482</v>
      </c>
      <c r="S7" s="18" t="s">
        <v>2433</v>
      </c>
      <c r="T7" s="20"/>
      <c r="U7" s="28">
        <v>45922</v>
      </c>
      <c r="V7" s="28"/>
    </row>
    <row r="8" spans="1:24" ht="30" customHeight="1" x14ac:dyDescent="0.25">
      <c r="A8" s="17">
        <f>SUBTOTAL(103,B$2:B8)*1</f>
        <v>7</v>
      </c>
      <c r="B8" s="17" t="s">
        <v>440</v>
      </c>
      <c r="C8" s="18" t="s">
        <v>1366</v>
      </c>
      <c r="D8" s="17" t="s">
        <v>325</v>
      </c>
      <c r="E8" s="17" t="s">
        <v>97</v>
      </c>
      <c r="F8" s="17"/>
      <c r="G8" s="17" t="s">
        <v>457</v>
      </c>
      <c r="H8" s="17" t="s">
        <v>619</v>
      </c>
      <c r="I8" s="17" t="s">
        <v>441</v>
      </c>
      <c r="J8" s="17" t="s">
        <v>442</v>
      </c>
      <c r="K8" s="17" t="s">
        <v>404</v>
      </c>
      <c r="L8" s="19">
        <v>400000</v>
      </c>
      <c r="M8" s="17" t="s">
        <v>1460</v>
      </c>
      <c r="N8" s="19">
        <v>394000</v>
      </c>
      <c r="O8" s="17">
        <v>6</v>
      </c>
      <c r="P8" s="17"/>
      <c r="Q8" s="28"/>
      <c r="R8" s="17" t="s">
        <v>2830</v>
      </c>
      <c r="S8" s="18" t="s">
        <v>2434</v>
      </c>
      <c r="T8" s="20" t="s">
        <v>2829</v>
      </c>
      <c r="U8" s="28">
        <v>46097</v>
      </c>
      <c r="V8" s="28" t="s">
        <v>849</v>
      </c>
      <c r="W8" s="52"/>
    </row>
    <row r="9" spans="1:24" ht="45" x14ac:dyDescent="0.25">
      <c r="A9" s="17">
        <f>SUBTOTAL(103,B$2:B9)*1</f>
        <v>8</v>
      </c>
      <c r="B9" s="17" t="s">
        <v>292</v>
      </c>
      <c r="C9" s="18" t="s">
        <v>1206</v>
      </c>
      <c r="D9" s="17" t="s">
        <v>13</v>
      </c>
      <c r="E9" s="17" t="s">
        <v>21</v>
      </c>
      <c r="F9" s="17" t="s">
        <v>15</v>
      </c>
      <c r="G9" s="17" t="s">
        <v>25</v>
      </c>
      <c r="H9" s="17" t="s">
        <v>618</v>
      </c>
      <c r="I9" s="17" t="s">
        <v>502</v>
      </c>
      <c r="J9" s="17" t="s">
        <v>26</v>
      </c>
      <c r="K9" s="17" t="s">
        <v>404</v>
      </c>
      <c r="L9" s="19">
        <v>600000</v>
      </c>
      <c r="M9" s="17" t="s">
        <v>1460</v>
      </c>
      <c r="N9" s="19">
        <v>599500</v>
      </c>
      <c r="O9" s="17">
        <v>4</v>
      </c>
      <c r="P9" s="17"/>
      <c r="Q9" s="28">
        <v>45884</v>
      </c>
      <c r="R9" s="17" t="s">
        <v>482</v>
      </c>
      <c r="S9" s="18" t="s">
        <v>2435</v>
      </c>
      <c r="T9" s="20"/>
      <c r="U9" s="28">
        <v>45901</v>
      </c>
      <c r="V9" s="28"/>
    </row>
    <row r="10" spans="1:24" ht="30" customHeight="1" x14ac:dyDescent="0.25">
      <c r="A10" s="17">
        <f>SUBTOTAL(103,B$2:B10)*1</f>
        <v>9</v>
      </c>
      <c r="B10" s="17" t="s">
        <v>461</v>
      </c>
      <c r="C10" s="18" t="s">
        <v>458</v>
      </c>
      <c r="D10" s="17" t="s">
        <v>304</v>
      </c>
      <c r="E10" s="17" t="s">
        <v>21</v>
      </c>
      <c r="F10" s="17"/>
      <c r="G10" s="17" t="s">
        <v>467</v>
      </c>
      <c r="H10" s="17" t="s">
        <v>619</v>
      </c>
      <c r="I10" s="17" t="s">
        <v>459</v>
      </c>
      <c r="J10" s="17" t="s">
        <v>460</v>
      </c>
      <c r="K10" s="17" t="s">
        <v>404</v>
      </c>
      <c r="L10" s="19">
        <v>1500000</v>
      </c>
      <c r="M10" s="17" t="s">
        <v>1460</v>
      </c>
      <c r="N10" s="19">
        <v>1333400</v>
      </c>
      <c r="O10" s="17"/>
      <c r="P10" s="17"/>
      <c r="Q10" s="28">
        <v>45721</v>
      </c>
      <c r="R10" s="19" t="s">
        <v>482</v>
      </c>
      <c r="S10" s="18" t="s">
        <v>2436</v>
      </c>
      <c r="T10" s="20"/>
      <c r="U10" s="28">
        <v>45799</v>
      </c>
      <c r="V10" s="28"/>
    </row>
    <row r="11" spans="1:24" ht="30" customHeight="1" x14ac:dyDescent="0.25">
      <c r="A11" s="17">
        <f>SUBTOTAL(103,B$2:B11)*1</f>
        <v>10</v>
      </c>
      <c r="B11" s="17" t="s">
        <v>292</v>
      </c>
      <c r="C11" s="18" t="s">
        <v>20</v>
      </c>
      <c r="D11" s="17" t="s">
        <v>13</v>
      </c>
      <c r="E11" s="17" t="s">
        <v>21</v>
      </c>
      <c r="F11" s="17"/>
      <c r="G11" s="17" t="s">
        <v>22</v>
      </c>
      <c r="H11" s="17" t="s">
        <v>618</v>
      </c>
      <c r="I11" s="17"/>
      <c r="J11" s="17" t="s">
        <v>23</v>
      </c>
      <c r="K11" s="17" t="s">
        <v>404</v>
      </c>
      <c r="L11" s="19">
        <v>2000000</v>
      </c>
      <c r="M11" s="17" t="s">
        <v>1460</v>
      </c>
      <c r="N11" s="19">
        <v>1795000</v>
      </c>
      <c r="O11" s="17" t="s">
        <v>54</v>
      </c>
      <c r="P11" s="17"/>
      <c r="Q11" s="28">
        <v>45663</v>
      </c>
      <c r="R11" s="17" t="s">
        <v>482</v>
      </c>
      <c r="S11" s="18" t="s">
        <v>2439</v>
      </c>
      <c r="T11" s="20"/>
      <c r="U11" s="28">
        <v>45799</v>
      </c>
      <c r="V11" s="28"/>
    </row>
    <row r="12" spans="1:24" ht="30" customHeight="1" x14ac:dyDescent="0.25">
      <c r="A12" s="17">
        <f>SUBTOTAL(103,B$2:B12)*1</f>
        <v>11</v>
      </c>
      <c r="B12" s="17" t="s">
        <v>292</v>
      </c>
      <c r="C12" s="18" t="s">
        <v>1176</v>
      </c>
      <c r="D12" s="17" t="s">
        <v>90</v>
      </c>
      <c r="E12" s="17"/>
      <c r="F12" s="17"/>
      <c r="G12" s="17" t="s">
        <v>561</v>
      </c>
      <c r="H12" s="17" t="s">
        <v>620</v>
      </c>
      <c r="I12" s="17" t="s">
        <v>892</v>
      </c>
      <c r="J12" s="17" t="s">
        <v>733</v>
      </c>
      <c r="K12" s="17" t="s">
        <v>404</v>
      </c>
      <c r="L12" s="19">
        <v>2850000</v>
      </c>
      <c r="M12" s="17" t="s">
        <v>1460</v>
      </c>
      <c r="N12" s="19">
        <v>2800000</v>
      </c>
      <c r="O12" s="17">
        <v>6</v>
      </c>
      <c r="P12" s="17"/>
      <c r="Q12" s="28"/>
      <c r="R12" s="17" t="s">
        <v>474</v>
      </c>
      <c r="S12" s="18" t="s">
        <v>2443</v>
      </c>
      <c r="T12" s="20"/>
      <c r="U12" s="28">
        <v>45908</v>
      </c>
      <c r="V12" s="28" t="s">
        <v>949</v>
      </c>
      <c r="W12" s="52"/>
    </row>
    <row r="13" spans="1:24" ht="30" customHeight="1" x14ac:dyDescent="0.25">
      <c r="A13" s="17">
        <f>SUBTOTAL(103,B$2:B13)*1</f>
        <v>12</v>
      </c>
      <c r="B13" s="17" t="s">
        <v>292</v>
      </c>
      <c r="C13" s="18" t="s">
        <v>944</v>
      </c>
      <c r="D13" s="18" t="s">
        <v>90</v>
      </c>
      <c r="E13" s="17"/>
      <c r="F13" s="17"/>
      <c r="G13" s="17" t="s">
        <v>190</v>
      </c>
      <c r="H13" s="17" t="s">
        <v>618</v>
      </c>
      <c r="I13" s="17"/>
      <c r="J13" s="17" t="s">
        <v>943</v>
      </c>
      <c r="K13" s="17" t="s">
        <v>748</v>
      </c>
      <c r="L13" s="19">
        <v>1300000</v>
      </c>
      <c r="M13" s="17" t="s">
        <v>1460</v>
      </c>
      <c r="N13" s="19">
        <v>1848000</v>
      </c>
      <c r="O13" s="17">
        <v>8</v>
      </c>
      <c r="P13" s="17"/>
      <c r="Q13" s="28"/>
      <c r="R13" s="17" t="s">
        <v>474</v>
      </c>
      <c r="S13" s="61" t="s">
        <v>2444</v>
      </c>
      <c r="T13" s="20"/>
      <c r="U13" s="28">
        <v>45992</v>
      </c>
      <c r="V13" s="28" t="s">
        <v>958</v>
      </c>
      <c r="W13" s="52"/>
    </row>
    <row r="14" spans="1:24" ht="30" customHeight="1" x14ac:dyDescent="0.25">
      <c r="A14" s="17">
        <f>SUBTOTAL(103,B$2:B14)*1</f>
        <v>13</v>
      </c>
      <c r="B14" s="17" t="s">
        <v>292</v>
      </c>
      <c r="C14" s="18" t="s">
        <v>167</v>
      </c>
      <c r="D14" s="17" t="s">
        <v>90</v>
      </c>
      <c r="E14" s="17" t="s">
        <v>97</v>
      </c>
      <c r="F14" s="17"/>
      <c r="G14" s="17" t="s">
        <v>82</v>
      </c>
      <c r="H14" s="17" t="s">
        <v>622</v>
      </c>
      <c r="I14" s="17"/>
      <c r="J14" s="17" t="s">
        <v>168</v>
      </c>
      <c r="K14" s="17" t="s">
        <v>404</v>
      </c>
      <c r="L14" s="19"/>
      <c r="M14" s="17" t="s">
        <v>1460</v>
      </c>
      <c r="N14" s="19">
        <v>474700</v>
      </c>
      <c r="O14" s="17">
        <v>8</v>
      </c>
      <c r="P14" s="17"/>
      <c r="Q14" s="28">
        <v>46007</v>
      </c>
      <c r="R14" s="17" t="s">
        <v>474</v>
      </c>
      <c r="S14" s="61" t="s">
        <v>2577</v>
      </c>
      <c r="T14" s="20" t="s">
        <v>2892</v>
      </c>
      <c r="U14" s="28">
        <v>46097</v>
      </c>
      <c r="V14" s="17" t="s">
        <v>855</v>
      </c>
      <c r="W14" s="52"/>
    </row>
    <row r="15" spans="1:24" ht="30" customHeight="1" x14ac:dyDescent="0.25">
      <c r="A15" s="17">
        <f>SUBTOTAL(103,B$2:B15)*1</f>
        <v>14</v>
      </c>
      <c r="B15" s="17" t="s">
        <v>292</v>
      </c>
      <c r="C15" s="18" t="s">
        <v>45</v>
      </c>
      <c r="D15" s="5" t="s">
        <v>808</v>
      </c>
      <c r="E15" s="17" t="s">
        <v>807</v>
      </c>
      <c r="F15" s="17"/>
      <c r="G15" s="17" t="s">
        <v>36</v>
      </c>
      <c r="H15" s="17" t="s">
        <v>620</v>
      </c>
      <c r="I15" s="17" t="s">
        <v>629</v>
      </c>
      <c r="J15" s="17" t="s">
        <v>750</v>
      </c>
      <c r="K15" s="17" t="s">
        <v>404</v>
      </c>
      <c r="L15" s="19">
        <v>600000</v>
      </c>
      <c r="M15" s="17" t="s">
        <v>345</v>
      </c>
      <c r="N15" s="19">
        <v>600000</v>
      </c>
      <c r="O15" s="17" t="s">
        <v>54</v>
      </c>
      <c r="P15" s="17"/>
      <c r="Q15" s="28">
        <v>45868</v>
      </c>
      <c r="R15" s="17" t="s">
        <v>482</v>
      </c>
      <c r="S15" s="64" t="s">
        <v>2582</v>
      </c>
      <c r="T15" s="20"/>
      <c r="U15" s="28">
        <v>45939</v>
      </c>
      <c r="V15" s="28" t="s">
        <v>887</v>
      </c>
      <c r="W15" s="52"/>
    </row>
    <row r="16" spans="1:24" ht="30" customHeight="1" x14ac:dyDescent="0.25">
      <c r="A16" s="17">
        <f>SUBTOTAL(103,B$2:B16)*1</f>
        <v>15</v>
      </c>
      <c r="B16" s="17" t="s">
        <v>292</v>
      </c>
      <c r="C16" s="18" t="s">
        <v>1544</v>
      </c>
      <c r="D16" s="18" t="s">
        <v>325</v>
      </c>
      <c r="E16" s="17"/>
      <c r="F16" s="17"/>
      <c r="G16" s="17" t="s">
        <v>22</v>
      </c>
      <c r="H16" s="17" t="s">
        <v>618</v>
      </c>
      <c r="I16" s="17" t="s">
        <v>1541</v>
      </c>
      <c r="J16" s="17" t="s">
        <v>1545</v>
      </c>
      <c r="K16" s="17" t="s">
        <v>404</v>
      </c>
      <c r="L16" s="19">
        <v>50000</v>
      </c>
      <c r="M16" s="17" t="s">
        <v>345</v>
      </c>
      <c r="N16" s="19">
        <v>40000</v>
      </c>
      <c r="O16" s="17">
        <v>3</v>
      </c>
      <c r="P16" s="17"/>
      <c r="Q16" s="28"/>
      <c r="R16" s="17" t="s">
        <v>474</v>
      </c>
      <c r="S16" s="65" t="s">
        <v>2581</v>
      </c>
      <c r="T16" s="20"/>
      <c r="U16" s="28">
        <v>45985</v>
      </c>
      <c r="V16" s="28" t="s">
        <v>1752</v>
      </c>
    </row>
    <row r="17" spans="1:23" ht="30" customHeight="1" x14ac:dyDescent="0.25">
      <c r="A17" s="17">
        <f>SUBTOTAL(103,B$2:B17)*1</f>
        <v>16</v>
      </c>
      <c r="B17" s="17" t="s">
        <v>292</v>
      </c>
      <c r="C17" s="18" t="s">
        <v>2112</v>
      </c>
      <c r="D17" s="18" t="s">
        <v>325</v>
      </c>
      <c r="E17" s="17"/>
      <c r="F17" s="17"/>
      <c r="G17" s="17" t="s">
        <v>2113</v>
      </c>
      <c r="H17" s="17" t="s">
        <v>2114</v>
      </c>
      <c r="I17" s="17"/>
      <c r="J17" s="17" t="s">
        <v>2115</v>
      </c>
      <c r="K17" s="17" t="s">
        <v>404</v>
      </c>
      <c r="L17" s="19">
        <v>150000</v>
      </c>
      <c r="M17" s="17" t="s">
        <v>345</v>
      </c>
      <c r="N17" s="19">
        <v>150000</v>
      </c>
      <c r="O17" s="17">
        <v>1</v>
      </c>
      <c r="P17" s="17"/>
      <c r="Q17" s="28"/>
      <c r="R17" s="17" t="s">
        <v>474</v>
      </c>
      <c r="S17" s="65" t="s">
        <v>2580</v>
      </c>
      <c r="T17" s="20"/>
      <c r="U17" s="28"/>
      <c r="V17" s="17" t="s">
        <v>2116</v>
      </c>
    </row>
    <row r="18" spans="1:23" ht="30" customHeight="1" x14ac:dyDescent="0.25">
      <c r="A18" s="17">
        <f>SUBTOTAL(103,B$2:B18)*1</f>
        <v>17</v>
      </c>
      <c r="B18" s="17" t="s">
        <v>393</v>
      </c>
      <c r="C18" s="18" t="s">
        <v>1247</v>
      </c>
      <c r="D18" s="17" t="s">
        <v>9</v>
      </c>
      <c r="E18" s="17" t="s">
        <v>284</v>
      </c>
      <c r="F18" s="17" t="s">
        <v>540</v>
      </c>
      <c r="G18" s="17" t="s">
        <v>583</v>
      </c>
      <c r="H18" s="17" t="s">
        <v>620</v>
      </c>
      <c r="I18" s="17" t="s">
        <v>556</v>
      </c>
      <c r="J18" s="17" t="s">
        <v>585</v>
      </c>
      <c r="K18" s="17" t="s">
        <v>404</v>
      </c>
      <c r="L18" s="19">
        <v>10000000</v>
      </c>
      <c r="M18" s="17" t="s">
        <v>1460</v>
      </c>
      <c r="N18" s="19">
        <v>3255270</v>
      </c>
      <c r="O18" s="17" t="s">
        <v>54</v>
      </c>
      <c r="P18" s="17"/>
      <c r="Q18" s="28">
        <v>45957</v>
      </c>
      <c r="R18" s="17" t="s">
        <v>2595</v>
      </c>
      <c r="S18" s="18" t="s">
        <v>2437</v>
      </c>
      <c r="T18" s="20"/>
      <c r="U18" s="28">
        <v>46013</v>
      </c>
      <c r="V18" s="28"/>
      <c r="W18" s="52"/>
    </row>
    <row r="19" spans="1:23" ht="30" customHeight="1" x14ac:dyDescent="0.25">
      <c r="A19" s="17">
        <f>SUBTOTAL(103,B$2:B19)*1</f>
        <v>18</v>
      </c>
      <c r="B19" s="17" t="s">
        <v>292</v>
      </c>
      <c r="C19" s="18" t="s">
        <v>2068</v>
      </c>
      <c r="D19" s="18" t="s">
        <v>31</v>
      </c>
      <c r="E19" s="17"/>
      <c r="F19" s="17"/>
      <c r="G19" s="17" t="s">
        <v>22</v>
      </c>
      <c r="H19" s="17" t="s">
        <v>618</v>
      </c>
      <c r="I19" s="17" t="s">
        <v>1101</v>
      </c>
      <c r="J19" s="17" t="s">
        <v>1099</v>
      </c>
      <c r="K19" s="17" t="s">
        <v>408</v>
      </c>
      <c r="L19" s="19"/>
      <c r="M19" s="17" t="s">
        <v>1460</v>
      </c>
      <c r="N19" s="19">
        <v>2957888</v>
      </c>
      <c r="O19" s="17">
        <v>1</v>
      </c>
      <c r="P19" s="17"/>
      <c r="Q19" s="28">
        <v>45855</v>
      </c>
      <c r="R19" s="17" t="s">
        <v>2595</v>
      </c>
      <c r="S19" s="61" t="s">
        <v>2447</v>
      </c>
      <c r="T19" s="20"/>
      <c r="U19" s="28">
        <v>45859</v>
      </c>
      <c r="V19" s="28"/>
    </row>
    <row r="20" spans="1:23" ht="30" customHeight="1" x14ac:dyDescent="0.25">
      <c r="A20" s="17">
        <f>SUBTOTAL(103,B$2:B20)*1</f>
        <v>19</v>
      </c>
      <c r="B20" s="17" t="s">
        <v>292</v>
      </c>
      <c r="C20" s="18" t="s">
        <v>2070</v>
      </c>
      <c r="D20" s="18" t="s">
        <v>9</v>
      </c>
      <c r="E20" s="17"/>
      <c r="F20" s="17"/>
      <c r="G20" s="17" t="s">
        <v>36</v>
      </c>
      <c r="H20" s="17" t="s">
        <v>620</v>
      </c>
      <c r="I20" s="17"/>
      <c r="J20" s="17" t="s">
        <v>2071</v>
      </c>
      <c r="K20" s="17" t="s">
        <v>404</v>
      </c>
      <c r="L20" s="19"/>
      <c r="M20" s="17" t="s">
        <v>1460</v>
      </c>
      <c r="N20" s="19">
        <v>6061540</v>
      </c>
      <c r="O20" s="17"/>
      <c r="P20" s="17"/>
      <c r="Q20" s="28"/>
      <c r="R20" s="17" t="s">
        <v>2511</v>
      </c>
      <c r="S20" s="18" t="s">
        <v>2441</v>
      </c>
      <c r="T20" s="20"/>
      <c r="U20" s="28"/>
      <c r="V20" s="17"/>
      <c r="W20" s="52"/>
    </row>
    <row r="21" spans="1:23" ht="30" customHeight="1" x14ac:dyDescent="0.25">
      <c r="A21" s="17">
        <f>SUBTOTAL(103,B$2:B21)*1</f>
        <v>20</v>
      </c>
      <c r="B21" s="17" t="s">
        <v>292</v>
      </c>
      <c r="C21" s="18" t="s">
        <v>1614</v>
      </c>
      <c r="D21" s="18" t="s">
        <v>1287</v>
      </c>
      <c r="E21" s="17"/>
      <c r="F21" s="17"/>
      <c r="G21" s="17" t="s">
        <v>190</v>
      </c>
      <c r="H21" s="17" t="s">
        <v>618</v>
      </c>
      <c r="I21" s="17" t="s">
        <v>1668</v>
      </c>
      <c r="J21" s="17" t="s">
        <v>1615</v>
      </c>
      <c r="K21" s="17" t="s">
        <v>404</v>
      </c>
      <c r="L21" s="19"/>
      <c r="M21" s="17" t="s">
        <v>1460</v>
      </c>
      <c r="N21" s="19">
        <v>900000</v>
      </c>
      <c r="O21" s="17">
        <v>3</v>
      </c>
      <c r="P21" s="17"/>
      <c r="Q21" s="28">
        <v>45950</v>
      </c>
      <c r="R21" s="17" t="s">
        <v>664</v>
      </c>
      <c r="S21" s="61" t="s">
        <v>2452</v>
      </c>
      <c r="T21" s="20"/>
      <c r="U21" s="28">
        <v>45992</v>
      </c>
      <c r="V21" s="17"/>
    </row>
    <row r="22" spans="1:23" ht="30" customHeight="1" x14ac:dyDescent="0.25">
      <c r="A22" s="17">
        <f>SUBTOTAL(103,B$2:B22)*1</f>
        <v>21</v>
      </c>
      <c r="B22" s="17" t="s">
        <v>292</v>
      </c>
      <c r="C22" s="18" t="s">
        <v>1016</v>
      </c>
      <c r="D22" s="18" t="s">
        <v>304</v>
      </c>
      <c r="E22" s="17"/>
      <c r="F22" s="17"/>
      <c r="G22" s="17" t="s">
        <v>82</v>
      </c>
      <c r="H22" s="17" t="s">
        <v>619</v>
      </c>
      <c r="I22" s="17"/>
      <c r="J22" s="17" t="s">
        <v>1016</v>
      </c>
      <c r="K22" s="17" t="s">
        <v>404</v>
      </c>
      <c r="L22" s="19"/>
      <c r="M22" s="17" t="s">
        <v>1460</v>
      </c>
      <c r="N22" s="19">
        <v>378000</v>
      </c>
      <c r="O22" s="17">
        <v>2</v>
      </c>
      <c r="P22" s="17"/>
      <c r="Q22" s="28"/>
      <c r="R22" s="17" t="s">
        <v>664</v>
      </c>
      <c r="S22" s="61" t="s">
        <v>2458</v>
      </c>
      <c r="T22" s="20"/>
      <c r="U22" s="28">
        <v>45845</v>
      </c>
      <c r="V22" s="28"/>
    </row>
    <row r="23" spans="1:23" ht="30" customHeight="1" x14ac:dyDescent="0.25">
      <c r="A23" s="17">
        <f>SUBTOTAL(103,B$2:B23)*1</f>
        <v>22</v>
      </c>
      <c r="B23" s="17" t="s">
        <v>292</v>
      </c>
      <c r="C23" s="18" t="s">
        <v>2067</v>
      </c>
      <c r="D23" s="18"/>
      <c r="E23" s="17"/>
      <c r="F23" s="17"/>
      <c r="G23" s="17" t="s">
        <v>311</v>
      </c>
      <c r="H23" s="17" t="s">
        <v>1842</v>
      </c>
      <c r="I23" s="17"/>
      <c r="J23" s="17" t="s">
        <v>2059</v>
      </c>
      <c r="K23" s="19" t="s">
        <v>404</v>
      </c>
      <c r="L23" s="19"/>
      <c r="M23" s="17" t="s">
        <v>345</v>
      </c>
      <c r="N23" s="19">
        <v>178300</v>
      </c>
      <c r="O23" s="17">
        <v>1</v>
      </c>
      <c r="P23" s="17"/>
      <c r="Q23" s="28"/>
      <c r="R23" s="17" t="s">
        <v>2066</v>
      </c>
      <c r="S23" s="64" t="s">
        <v>2446</v>
      </c>
      <c r="T23" s="20"/>
      <c r="U23" s="28">
        <v>46006</v>
      </c>
      <c r="V23" s="17"/>
    </row>
    <row r="24" spans="1:23" ht="30" customHeight="1" x14ac:dyDescent="0.25">
      <c r="A24" s="17">
        <f>SUBTOTAL(103,B$2:B24)*1</f>
        <v>23</v>
      </c>
      <c r="B24" s="17" t="s">
        <v>292</v>
      </c>
      <c r="C24" s="18" t="s">
        <v>738</v>
      </c>
      <c r="D24" s="17" t="s">
        <v>124</v>
      </c>
      <c r="E24" s="17"/>
      <c r="F24" s="17"/>
      <c r="G24" s="17" t="s">
        <v>63</v>
      </c>
      <c r="H24" s="17" t="s">
        <v>619</v>
      </c>
      <c r="I24" s="17" t="s">
        <v>596</v>
      </c>
      <c r="J24" s="17" t="s">
        <v>188</v>
      </c>
      <c r="K24" s="17" t="s">
        <v>404</v>
      </c>
      <c r="L24" s="19"/>
      <c r="M24" s="17" t="s">
        <v>1460</v>
      </c>
      <c r="N24" s="19">
        <v>7507535</v>
      </c>
      <c r="O24" s="17">
        <v>1</v>
      </c>
      <c r="P24" s="17"/>
      <c r="Q24" s="28">
        <v>45814</v>
      </c>
      <c r="R24" s="17" t="s">
        <v>479</v>
      </c>
      <c r="S24" s="61" t="s">
        <v>2442</v>
      </c>
      <c r="T24" s="20"/>
      <c r="U24" s="28">
        <v>45803</v>
      </c>
      <c r="V24" s="28"/>
    </row>
    <row r="25" spans="1:23" ht="30" customHeight="1" x14ac:dyDescent="0.25">
      <c r="A25" s="17">
        <f>SUBTOTAL(103,B$2:B25)*1</f>
        <v>24</v>
      </c>
      <c r="B25" s="17" t="s">
        <v>292</v>
      </c>
      <c r="C25" s="18" t="s">
        <v>121</v>
      </c>
      <c r="D25" s="17" t="s">
        <v>122</v>
      </c>
      <c r="E25" s="17"/>
      <c r="F25" s="17"/>
      <c r="G25" s="17" t="s">
        <v>82</v>
      </c>
      <c r="H25" s="17" t="s">
        <v>622</v>
      </c>
      <c r="I25" s="17" t="s">
        <v>644</v>
      </c>
      <c r="J25" s="17" t="s">
        <v>2440</v>
      </c>
      <c r="K25" s="17" t="s">
        <v>429</v>
      </c>
      <c r="L25" s="19"/>
      <c r="M25" s="17" t="s">
        <v>8</v>
      </c>
      <c r="N25" s="19">
        <v>3522400</v>
      </c>
      <c r="O25" s="17"/>
      <c r="P25" s="17" t="s">
        <v>846</v>
      </c>
      <c r="Q25" s="28">
        <v>45763</v>
      </c>
      <c r="R25" s="17" t="s">
        <v>2595</v>
      </c>
      <c r="S25" s="64" t="s">
        <v>645</v>
      </c>
      <c r="T25" s="20"/>
      <c r="U25" s="28">
        <v>45799</v>
      </c>
      <c r="V25" s="28"/>
    </row>
    <row r="26" spans="1:23" ht="30" customHeight="1" x14ac:dyDescent="0.25">
      <c r="A26" s="17">
        <f>SUBTOTAL(103,B$2:B26)*1</f>
        <v>25</v>
      </c>
      <c r="B26" s="17" t="s">
        <v>292</v>
      </c>
      <c r="C26" s="18" t="s">
        <v>88</v>
      </c>
      <c r="D26" s="17" t="s">
        <v>30</v>
      </c>
      <c r="E26" s="17" t="s">
        <v>9</v>
      </c>
      <c r="F26" s="17"/>
      <c r="G26" s="17" t="s">
        <v>16</v>
      </c>
      <c r="H26" s="17" t="s">
        <v>618</v>
      </c>
      <c r="I26" s="17" t="s">
        <v>628</v>
      </c>
      <c r="J26" s="17" t="s">
        <v>18</v>
      </c>
      <c r="K26" s="17" t="s">
        <v>404</v>
      </c>
      <c r="L26" s="19">
        <v>17000000</v>
      </c>
      <c r="M26" s="17" t="s">
        <v>1460</v>
      </c>
      <c r="N26" s="19">
        <v>16612714.91</v>
      </c>
      <c r="O26" s="17" t="s">
        <v>54</v>
      </c>
      <c r="P26" s="17"/>
      <c r="Q26" s="28">
        <v>45827</v>
      </c>
      <c r="R26" s="19" t="s">
        <v>468</v>
      </c>
      <c r="S26" s="18" t="s">
        <v>2438</v>
      </c>
      <c r="T26" s="20"/>
      <c r="U26" s="28">
        <v>45985</v>
      </c>
      <c r="V26" s="28"/>
    </row>
    <row r="27" spans="1:23" ht="30" customHeight="1" x14ac:dyDescent="0.25">
      <c r="A27" s="17">
        <f>SUBTOTAL(103,B$2:B27)*1</f>
        <v>26</v>
      </c>
      <c r="B27" s="17" t="s">
        <v>292</v>
      </c>
      <c r="C27" s="18" t="s">
        <v>86</v>
      </c>
      <c r="D27" s="17" t="s">
        <v>30</v>
      </c>
      <c r="E27" s="17" t="s">
        <v>9</v>
      </c>
      <c r="F27" s="17" t="s">
        <v>31</v>
      </c>
      <c r="G27" s="17" t="s">
        <v>84</v>
      </c>
      <c r="H27" s="17" t="s">
        <v>618</v>
      </c>
      <c r="I27" s="17" t="s">
        <v>545</v>
      </c>
      <c r="J27" s="17" t="s">
        <v>85</v>
      </c>
      <c r="K27" s="17" t="s">
        <v>404</v>
      </c>
      <c r="L27" s="19">
        <v>18000000</v>
      </c>
      <c r="M27" s="17" t="s">
        <v>1460</v>
      </c>
      <c r="N27" s="19">
        <v>4950000</v>
      </c>
      <c r="O27" s="17" t="s">
        <v>54</v>
      </c>
      <c r="P27" s="17"/>
      <c r="Q27" s="28"/>
      <c r="R27" s="17" t="s">
        <v>2596</v>
      </c>
      <c r="S27" s="64" t="s">
        <v>2432</v>
      </c>
      <c r="T27" s="20"/>
      <c r="U27" s="28">
        <v>45852</v>
      </c>
      <c r="V27" s="28"/>
    </row>
    <row r="28" spans="1:23" ht="30" customHeight="1" x14ac:dyDescent="0.25">
      <c r="A28" s="17">
        <f>SUBTOTAL(103,B$2:B28)*1</f>
        <v>27</v>
      </c>
      <c r="B28" s="17" t="s">
        <v>292</v>
      </c>
      <c r="C28" s="18" t="s">
        <v>1187</v>
      </c>
      <c r="D28" s="18" t="s">
        <v>122</v>
      </c>
      <c r="E28" s="17"/>
      <c r="F28" s="17"/>
      <c r="G28" s="17" t="s">
        <v>1087</v>
      </c>
      <c r="H28" s="17" t="s">
        <v>620</v>
      </c>
      <c r="I28" s="17"/>
      <c r="J28" s="17" t="s">
        <v>1088</v>
      </c>
      <c r="K28" s="17" t="s">
        <v>406</v>
      </c>
      <c r="L28" s="19">
        <v>18057868</v>
      </c>
      <c r="M28" s="17" t="s">
        <v>1460</v>
      </c>
      <c r="N28" s="19">
        <v>16326414</v>
      </c>
      <c r="O28" s="17" t="s">
        <v>54</v>
      </c>
      <c r="P28" s="17"/>
      <c r="Q28" s="28">
        <v>45867</v>
      </c>
      <c r="R28" s="17" t="s">
        <v>767</v>
      </c>
      <c r="S28" s="61" t="s">
        <v>2448</v>
      </c>
      <c r="T28" s="20"/>
      <c r="U28" s="28">
        <v>45874</v>
      </c>
      <c r="V28" s="28"/>
    </row>
    <row r="29" spans="1:23" ht="60" x14ac:dyDescent="0.25">
      <c r="A29" s="17">
        <f>SUBTOTAL(103,B$2:B29)*1</f>
        <v>28</v>
      </c>
      <c r="B29" s="17" t="s">
        <v>292</v>
      </c>
      <c r="C29" s="18" t="s">
        <v>1123</v>
      </c>
      <c r="D29" s="18" t="s">
        <v>122</v>
      </c>
      <c r="E29" s="17"/>
      <c r="F29" s="17"/>
      <c r="G29" s="17" t="s">
        <v>1087</v>
      </c>
      <c r="H29" s="17" t="s">
        <v>620</v>
      </c>
      <c r="I29" s="17"/>
      <c r="J29" s="17" t="s">
        <v>1088</v>
      </c>
      <c r="K29" s="17" t="s">
        <v>406</v>
      </c>
      <c r="L29" s="19">
        <v>20928940</v>
      </c>
      <c r="M29" s="17" t="s">
        <v>345</v>
      </c>
      <c r="N29" s="19">
        <f>6752290+6758060+6783450</f>
        <v>20293800</v>
      </c>
      <c r="O29" s="17" t="s">
        <v>54</v>
      </c>
      <c r="P29" s="17"/>
      <c r="Q29" s="28">
        <v>45880</v>
      </c>
      <c r="R29" s="17" t="s">
        <v>767</v>
      </c>
      <c r="S29" s="61" t="s">
        <v>2579</v>
      </c>
      <c r="T29" s="20"/>
      <c r="U29" s="28">
        <v>45887</v>
      </c>
      <c r="V29" s="28"/>
    </row>
    <row r="30" spans="1:23" ht="30" customHeight="1" x14ac:dyDescent="0.25">
      <c r="A30" s="17">
        <f>SUBTOTAL(103,B$2:B30)*1</f>
        <v>29</v>
      </c>
      <c r="B30" s="17" t="s">
        <v>292</v>
      </c>
      <c r="C30" s="18" t="s">
        <v>1189</v>
      </c>
      <c r="D30" s="18" t="s">
        <v>845</v>
      </c>
      <c r="E30" s="17"/>
      <c r="F30" s="17"/>
      <c r="G30" s="17" t="s">
        <v>328</v>
      </c>
      <c r="H30" s="17" t="s">
        <v>927</v>
      </c>
      <c r="I30" s="17"/>
      <c r="J30" s="17" t="s">
        <v>940</v>
      </c>
      <c r="K30" s="17" t="s">
        <v>408</v>
      </c>
      <c r="L30" s="19"/>
      <c r="M30" s="17" t="s">
        <v>1460</v>
      </c>
      <c r="N30" s="19">
        <v>3528000</v>
      </c>
      <c r="O30" s="17" t="s">
        <v>1190</v>
      </c>
      <c r="P30" s="17"/>
      <c r="Q30" s="28">
        <v>45867</v>
      </c>
      <c r="R30" s="17" t="s">
        <v>529</v>
      </c>
      <c r="S30" s="61" t="s">
        <v>2445</v>
      </c>
      <c r="T30" s="20"/>
      <c r="U30" s="28">
        <v>45866</v>
      </c>
      <c r="V30" s="28"/>
    </row>
    <row r="31" spans="1:23" ht="30" customHeight="1" x14ac:dyDescent="0.25">
      <c r="A31" s="17">
        <f>SUBTOTAL(103,B$2:B31)*1</f>
        <v>30</v>
      </c>
      <c r="B31" s="17" t="s">
        <v>292</v>
      </c>
      <c r="C31" s="18" t="s">
        <v>1122</v>
      </c>
      <c r="D31" s="18" t="s">
        <v>122</v>
      </c>
      <c r="E31" s="17"/>
      <c r="F31" s="17"/>
      <c r="G31" s="17" t="s">
        <v>1087</v>
      </c>
      <c r="H31" s="17" t="s">
        <v>620</v>
      </c>
      <c r="I31" s="17"/>
      <c r="J31" s="17" t="s">
        <v>2450</v>
      </c>
      <c r="K31" s="17" t="s">
        <v>406</v>
      </c>
      <c r="L31" s="19">
        <v>7118670</v>
      </c>
      <c r="M31" s="17" t="s">
        <v>1460</v>
      </c>
      <c r="N31" s="19">
        <v>6727770</v>
      </c>
      <c r="O31" s="17" t="s">
        <v>54</v>
      </c>
      <c r="P31" s="17"/>
      <c r="Q31" s="28">
        <v>45876</v>
      </c>
      <c r="R31" s="17" t="s">
        <v>529</v>
      </c>
      <c r="S31" s="18" t="s">
        <v>2449</v>
      </c>
      <c r="T31" s="20"/>
      <c r="U31" s="28">
        <v>45866</v>
      </c>
      <c r="V31" s="28"/>
    </row>
    <row r="32" spans="1:23" ht="30" customHeight="1" x14ac:dyDescent="0.25">
      <c r="A32" s="17">
        <f>SUBTOTAL(103,B$2:B32)*1</f>
        <v>31</v>
      </c>
      <c r="B32" s="17" t="s">
        <v>292</v>
      </c>
      <c r="C32" s="18" t="s">
        <v>712</v>
      </c>
      <c r="D32" s="17" t="s">
        <v>122</v>
      </c>
      <c r="E32" s="17"/>
      <c r="F32" s="17"/>
      <c r="G32" s="17" t="s">
        <v>82</v>
      </c>
      <c r="H32" s="17" t="s">
        <v>619</v>
      </c>
      <c r="I32" s="17" t="s">
        <v>737</v>
      </c>
      <c r="J32" s="17" t="s">
        <v>736</v>
      </c>
      <c r="K32" s="17" t="s">
        <v>405</v>
      </c>
      <c r="L32" s="19"/>
      <c r="M32" s="17" t="s">
        <v>345</v>
      </c>
      <c r="N32" s="19"/>
      <c r="O32" s="17">
        <v>1</v>
      </c>
      <c r="P32" s="17" t="s">
        <v>846</v>
      </c>
      <c r="Q32" s="28">
        <v>45813</v>
      </c>
      <c r="R32" s="17" t="s">
        <v>2597</v>
      </c>
      <c r="S32" s="64" t="s">
        <v>790</v>
      </c>
      <c r="T32" s="20"/>
      <c r="U32" s="28">
        <v>45817</v>
      </c>
      <c r="V32" s="28"/>
    </row>
    <row r="33" spans="1:22" ht="30" x14ac:dyDescent="0.25">
      <c r="A33" s="17">
        <f>SUBTOTAL(103,B$2:B33)*1</f>
        <v>32</v>
      </c>
      <c r="B33" s="17" t="s">
        <v>393</v>
      </c>
      <c r="C33" s="18" t="s">
        <v>2108</v>
      </c>
      <c r="D33" s="17" t="s">
        <v>31</v>
      </c>
      <c r="E33" s="17"/>
      <c r="F33" s="17"/>
      <c r="G33" s="17" t="s">
        <v>16</v>
      </c>
      <c r="H33" s="17" t="s">
        <v>618</v>
      </c>
      <c r="I33" s="17" t="s">
        <v>587</v>
      </c>
      <c r="J33" s="17" t="s">
        <v>598</v>
      </c>
      <c r="K33" s="17" t="s">
        <v>404</v>
      </c>
      <c r="L33" s="19">
        <v>6570000</v>
      </c>
      <c r="M33" s="17" t="s">
        <v>345</v>
      </c>
      <c r="N33" s="19">
        <v>1351330</v>
      </c>
      <c r="O33" s="17" t="s">
        <v>54</v>
      </c>
      <c r="P33" s="17"/>
      <c r="Q33" s="28">
        <v>46014</v>
      </c>
      <c r="R33" s="17" t="s">
        <v>2562</v>
      </c>
      <c r="S33" s="17"/>
      <c r="T33" s="17" t="s">
        <v>2561</v>
      </c>
      <c r="U33" s="28">
        <v>46034</v>
      </c>
      <c r="V33" s="28"/>
    </row>
    <row r="34" spans="1:22" ht="30" customHeight="1" x14ac:dyDescent="0.25">
      <c r="A34" s="17">
        <f>SUBTOTAL(103,B$2:B34)*1</f>
        <v>33</v>
      </c>
      <c r="B34" s="17" t="s">
        <v>292</v>
      </c>
      <c r="C34" s="18" t="s">
        <v>2470</v>
      </c>
      <c r="D34" s="17" t="s">
        <v>1660</v>
      </c>
      <c r="E34" s="17"/>
      <c r="F34" s="17"/>
      <c r="G34" s="17" t="s">
        <v>359</v>
      </c>
      <c r="H34" s="17" t="s">
        <v>620</v>
      </c>
      <c r="I34" s="17"/>
      <c r="J34" s="17" t="s">
        <v>600</v>
      </c>
      <c r="K34" s="17" t="s">
        <v>615</v>
      </c>
      <c r="L34" s="19"/>
      <c r="M34" s="17" t="s">
        <v>345</v>
      </c>
      <c r="N34" s="19">
        <v>3450000</v>
      </c>
      <c r="O34" s="17"/>
      <c r="P34" s="17"/>
      <c r="Q34" s="28"/>
      <c r="R34" s="17" t="s">
        <v>2066</v>
      </c>
      <c r="S34" s="17"/>
      <c r="T34" s="20" t="s">
        <v>2471</v>
      </c>
      <c r="U34" s="28"/>
      <c r="V34" s="28"/>
    </row>
    <row r="35" spans="1:22" ht="30" customHeight="1" x14ac:dyDescent="0.25">
      <c r="A35" s="17">
        <f>SUBTOTAL(103,B$2:B35)*1</f>
        <v>34</v>
      </c>
      <c r="B35" s="17" t="s">
        <v>292</v>
      </c>
      <c r="C35" s="18" t="s">
        <v>2468</v>
      </c>
      <c r="D35" s="17" t="s">
        <v>9</v>
      </c>
      <c r="E35" s="17"/>
      <c r="F35" s="17"/>
      <c r="G35" s="17" t="s">
        <v>367</v>
      </c>
      <c r="H35" s="17" t="s">
        <v>620</v>
      </c>
      <c r="I35" s="17"/>
      <c r="J35" s="17" t="s">
        <v>2469</v>
      </c>
      <c r="K35" s="17" t="s">
        <v>412</v>
      </c>
      <c r="L35" s="19"/>
      <c r="M35" s="17" t="s">
        <v>345</v>
      </c>
      <c r="N35" s="19">
        <v>2980000</v>
      </c>
      <c r="O35" s="17"/>
      <c r="P35" s="17"/>
      <c r="Q35" s="28"/>
      <c r="R35" s="17" t="s">
        <v>2066</v>
      </c>
      <c r="S35" s="17"/>
      <c r="T35" s="20"/>
      <c r="U35" s="28"/>
      <c r="V35" s="28"/>
    </row>
    <row r="36" spans="1:22" ht="30" customHeight="1" x14ac:dyDescent="0.25">
      <c r="A36" s="17">
        <f>SUBTOTAL(103,B$2:B36)*1</f>
        <v>35</v>
      </c>
      <c r="B36" s="17" t="s">
        <v>292</v>
      </c>
      <c r="C36" s="18" t="s">
        <v>2472</v>
      </c>
      <c r="D36" s="18" t="s">
        <v>298</v>
      </c>
      <c r="E36" s="17"/>
      <c r="F36" s="17"/>
      <c r="G36" s="17" t="s">
        <v>607</v>
      </c>
      <c r="H36" s="17" t="s">
        <v>619</v>
      </c>
      <c r="I36" s="17"/>
      <c r="J36" s="17" t="s">
        <v>2045</v>
      </c>
      <c r="K36" s="17" t="s">
        <v>404</v>
      </c>
      <c r="L36" s="19"/>
      <c r="M36" s="17" t="s">
        <v>345</v>
      </c>
      <c r="N36" s="19">
        <v>8243794</v>
      </c>
      <c r="O36" s="17">
        <v>1</v>
      </c>
      <c r="P36" s="17"/>
      <c r="Q36" s="28"/>
      <c r="R36" s="17" t="s">
        <v>2598</v>
      </c>
      <c r="S36" s="17"/>
      <c r="T36" s="35" t="s">
        <v>2079</v>
      </c>
      <c r="U36" s="28">
        <v>46006</v>
      </c>
      <c r="V36" s="17"/>
    </row>
    <row r="37" spans="1:22" ht="30" customHeight="1" x14ac:dyDescent="0.25">
      <c r="A37" s="17">
        <f>SUBTOTAL(103,B$2:B37)*1</f>
        <v>36</v>
      </c>
      <c r="B37" s="17" t="s">
        <v>393</v>
      </c>
      <c r="C37" s="18" t="s">
        <v>606</v>
      </c>
      <c r="D37" s="17" t="s">
        <v>9</v>
      </c>
      <c r="E37" s="17"/>
      <c r="F37" s="17"/>
      <c r="G37" s="17" t="s">
        <v>607</v>
      </c>
      <c r="H37" s="17" t="s">
        <v>619</v>
      </c>
      <c r="I37" s="17" t="s">
        <v>593</v>
      </c>
      <c r="J37" s="17" t="s">
        <v>608</v>
      </c>
      <c r="K37" s="17" t="s">
        <v>406</v>
      </c>
      <c r="L37" s="19">
        <v>4500000</v>
      </c>
      <c r="M37" s="17" t="s">
        <v>345</v>
      </c>
      <c r="N37" s="19">
        <v>3538000</v>
      </c>
      <c r="O37" s="17" t="s">
        <v>54</v>
      </c>
      <c r="P37" s="17"/>
      <c r="Q37" s="28"/>
      <c r="R37" s="17" t="s">
        <v>2599</v>
      </c>
      <c r="S37" s="17"/>
      <c r="T37" s="20" t="s">
        <v>2081</v>
      </c>
      <c r="U37" s="28">
        <v>46006</v>
      </c>
      <c r="V37" s="28"/>
    </row>
    <row r="38" spans="1:22" ht="30" customHeight="1" x14ac:dyDescent="0.25">
      <c r="A38" s="17">
        <f>SUBTOTAL(103,B$2:B38)*1</f>
        <v>37</v>
      </c>
      <c r="B38" s="17" t="s">
        <v>292</v>
      </c>
      <c r="C38" s="18" t="s">
        <v>640</v>
      </c>
      <c r="D38" s="17" t="s">
        <v>31</v>
      </c>
      <c r="E38" s="17" t="s">
        <v>57</v>
      </c>
      <c r="F38" s="17"/>
      <c r="G38" s="17" t="s">
        <v>84</v>
      </c>
      <c r="H38" s="17" t="s">
        <v>618</v>
      </c>
      <c r="I38" s="17" t="s">
        <v>545</v>
      </c>
      <c r="J38" s="17" t="s">
        <v>566</v>
      </c>
      <c r="K38" s="17" t="s">
        <v>404</v>
      </c>
      <c r="L38" s="19">
        <v>3000000</v>
      </c>
      <c r="M38" s="17" t="s">
        <v>345</v>
      </c>
      <c r="N38" s="19">
        <v>1750000</v>
      </c>
      <c r="O38" s="17">
        <v>4</v>
      </c>
      <c r="P38" s="17"/>
      <c r="Q38" s="28"/>
      <c r="R38" s="17" t="s">
        <v>2600</v>
      </c>
      <c r="S38" s="17"/>
      <c r="T38" s="20" t="s">
        <v>2501</v>
      </c>
      <c r="U38" s="28">
        <v>46020</v>
      </c>
      <c r="V38" s="28"/>
    </row>
    <row r="39" spans="1:22" ht="30" customHeight="1" x14ac:dyDescent="0.25">
      <c r="A39" s="17">
        <f>SUBTOTAL(103,B$2:B39)*1</f>
        <v>38</v>
      </c>
      <c r="B39" s="17" t="s">
        <v>292</v>
      </c>
      <c r="C39" s="18" t="s">
        <v>530</v>
      </c>
      <c r="D39" s="17" t="s">
        <v>31</v>
      </c>
      <c r="E39" s="17"/>
      <c r="F39" s="17"/>
      <c r="G39" s="17" t="s">
        <v>151</v>
      </c>
      <c r="H39" s="17" t="s">
        <v>622</v>
      </c>
      <c r="I39" s="17"/>
      <c r="J39" s="17" t="s">
        <v>530</v>
      </c>
      <c r="K39" s="17" t="s">
        <v>404</v>
      </c>
      <c r="L39" s="19"/>
      <c r="M39" s="17" t="s">
        <v>345</v>
      </c>
      <c r="N39" s="59">
        <v>4500000</v>
      </c>
      <c r="O39" s="17">
        <v>2</v>
      </c>
      <c r="P39" s="17"/>
      <c r="Q39" s="28"/>
      <c r="R39" s="17" t="s">
        <v>532</v>
      </c>
      <c r="S39" s="17"/>
      <c r="T39" s="20"/>
      <c r="U39" s="28">
        <v>45799</v>
      </c>
      <c r="V39" s="28"/>
    </row>
    <row r="40" spans="1:22" ht="30" customHeight="1" x14ac:dyDescent="0.25">
      <c r="A40" s="17">
        <f>SUBTOTAL(103,B$2:B40)*1</f>
        <v>39</v>
      </c>
      <c r="B40" s="17" t="s">
        <v>292</v>
      </c>
      <c r="C40" s="18" t="s">
        <v>834</v>
      </c>
      <c r="D40" s="18" t="s">
        <v>31</v>
      </c>
      <c r="E40" s="17"/>
      <c r="F40" s="17"/>
      <c r="G40" s="17" t="s">
        <v>79</v>
      </c>
      <c r="H40" s="17" t="s">
        <v>620</v>
      </c>
      <c r="I40" s="17"/>
      <c r="J40" s="17" t="s">
        <v>835</v>
      </c>
      <c r="K40" s="17" t="s">
        <v>404</v>
      </c>
      <c r="L40" s="19"/>
      <c r="M40" s="17" t="s">
        <v>345</v>
      </c>
      <c r="N40" s="59">
        <v>2864700</v>
      </c>
      <c r="O40" s="17">
        <v>1</v>
      </c>
      <c r="P40" s="17"/>
      <c r="Q40" s="28"/>
      <c r="R40" s="17" t="s">
        <v>532</v>
      </c>
      <c r="S40" s="17"/>
      <c r="T40" s="35" t="s">
        <v>920</v>
      </c>
      <c r="U40" s="28">
        <v>45824</v>
      </c>
      <c r="V40" s="28"/>
    </row>
    <row r="41" spans="1:22" ht="75" x14ac:dyDescent="0.25">
      <c r="A41" s="17">
        <f>SUBTOTAL(103,B$2:B41)*1</f>
        <v>40</v>
      </c>
      <c r="B41" s="17" t="s">
        <v>292</v>
      </c>
      <c r="C41" s="18" t="s">
        <v>1094</v>
      </c>
      <c r="D41" s="18" t="s">
        <v>31</v>
      </c>
      <c r="E41" s="17"/>
      <c r="F41" s="17"/>
      <c r="G41" s="17" t="s">
        <v>102</v>
      </c>
      <c r="H41" s="17" t="s">
        <v>618</v>
      </c>
      <c r="I41" s="17"/>
      <c r="J41" s="17" t="s">
        <v>1095</v>
      </c>
      <c r="K41" s="17" t="s">
        <v>404</v>
      </c>
      <c r="L41" s="19"/>
      <c r="M41" s="17" t="s">
        <v>345</v>
      </c>
      <c r="N41" s="59">
        <v>5390000</v>
      </c>
      <c r="O41" s="17">
        <v>5</v>
      </c>
      <c r="P41" s="17"/>
      <c r="Q41" s="28"/>
      <c r="R41" s="17" t="s">
        <v>468</v>
      </c>
      <c r="S41" s="17"/>
      <c r="T41" s="35" t="s">
        <v>1455</v>
      </c>
      <c r="U41" s="28">
        <v>45915</v>
      </c>
      <c r="V41" s="28"/>
    </row>
    <row r="42" spans="1:22" ht="30" customHeight="1" x14ac:dyDescent="0.25">
      <c r="A42" s="17">
        <f>SUBTOTAL(103,B$2:B42)*1</f>
        <v>41</v>
      </c>
      <c r="B42" s="17" t="s">
        <v>292</v>
      </c>
      <c r="C42" s="18" t="s">
        <v>1257</v>
      </c>
      <c r="D42" s="18" t="s">
        <v>90</v>
      </c>
      <c r="E42" s="17"/>
      <c r="F42" s="17"/>
      <c r="G42" s="17" t="s">
        <v>106</v>
      </c>
      <c r="H42" s="17" t="s">
        <v>618</v>
      </c>
      <c r="I42" s="17"/>
      <c r="J42" s="17" t="s">
        <v>1258</v>
      </c>
      <c r="K42" s="17" t="s">
        <v>404</v>
      </c>
      <c r="L42" s="19"/>
      <c r="M42" s="17" t="s">
        <v>1460</v>
      </c>
      <c r="N42" s="19">
        <v>2650660</v>
      </c>
      <c r="O42" s="17">
        <v>2</v>
      </c>
      <c r="P42" s="17"/>
      <c r="Q42" s="28"/>
      <c r="R42" s="17" t="s">
        <v>474</v>
      </c>
      <c r="S42" s="61" t="s">
        <v>2578</v>
      </c>
      <c r="T42" s="20"/>
      <c r="U42" s="28">
        <v>45922</v>
      </c>
      <c r="V42" s="28"/>
    </row>
    <row r="43" spans="1:22" ht="30" customHeight="1" x14ac:dyDescent="0.25">
      <c r="A43" s="17">
        <f>SUBTOTAL(103,B$2:B43)*1</f>
        <v>42</v>
      </c>
      <c r="B43" s="17" t="s">
        <v>292</v>
      </c>
      <c r="C43" s="18" t="s">
        <v>1471</v>
      </c>
      <c r="D43" s="18" t="s">
        <v>540</v>
      </c>
      <c r="E43" s="17"/>
      <c r="F43" s="17"/>
      <c r="G43" s="17" t="s">
        <v>36</v>
      </c>
      <c r="H43" s="17" t="s">
        <v>620</v>
      </c>
      <c r="I43" s="17"/>
      <c r="J43" s="17" t="s">
        <v>1471</v>
      </c>
      <c r="K43" s="17" t="s">
        <v>404</v>
      </c>
      <c r="L43" s="19"/>
      <c r="M43" s="17" t="s">
        <v>345</v>
      </c>
      <c r="N43" s="59">
        <v>5000000</v>
      </c>
      <c r="O43" s="17">
        <v>1</v>
      </c>
      <c r="P43" s="17"/>
      <c r="Q43" s="28"/>
      <c r="R43" s="17" t="s">
        <v>532</v>
      </c>
      <c r="S43" s="17"/>
      <c r="T43" s="35" t="s">
        <v>2455</v>
      </c>
      <c r="U43" s="28">
        <v>45915</v>
      </c>
      <c r="V43" s="28"/>
    </row>
    <row r="44" spans="1:22" ht="45" x14ac:dyDescent="0.25">
      <c r="A44" s="17">
        <f>SUBTOTAL(103,B$2:B44)*1</f>
        <v>43</v>
      </c>
      <c r="B44" s="17" t="s">
        <v>292</v>
      </c>
      <c r="C44" s="18" t="s">
        <v>1652</v>
      </c>
      <c r="D44" s="18" t="s">
        <v>122</v>
      </c>
      <c r="E44" s="17"/>
      <c r="F44" s="17"/>
      <c r="G44" s="17" t="s">
        <v>82</v>
      </c>
      <c r="H44" s="17" t="s">
        <v>619</v>
      </c>
      <c r="I44" s="17"/>
      <c r="J44" s="17" t="s">
        <v>1653</v>
      </c>
      <c r="K44" s="17" t="s">
        <v>405</v>
      </c>
      <c r="L44" s="19"/>
      <c r="M44" s="17" t="s">
        <v>345</v>
      </c>
      <c r="N44" s="59"/>
      <c r="O44" s="17">
        <v>5</v>
      </c>
      <c r="P44" s="17"/>
      <c r="Q44" s="28">
        <v>45987</v>
      </c>
      <c r="R44" s="17" t="s">
        <v>479</v>
      </c>
      <c r="S44" s="17"/>
      <c r="T44" s="35" t="s">
        <v>1992</v>
      </c>
      <c r="U44" s="28">
        <v>45992</v>
      </c>
      <c r="V44" s="17"/>
    </row>
    <row r="45" spans="1:22" ht="30" x14ac:dyDescent="0.25">
      <c r="A45" s="17">
        <f>SUBTOTAL(103,B$2:B45)*1</f>
        <v>44</v>
      </c>
      <c r="B45" s="17" t="s">
        <v>1886</v>
      </c>
      <c r="C45" s="18" t="s">
        <v>1890</v>
      </c>
      <c r="D45" s="18" t="s">
        <v>845</v>
      </c>
      <c r="E45" s="17"/>
      <c r="F45" s="17"/>
      <c r="G45" s="17" t="s">
        <v>25</v>
      </c>
      <c r="H45" s="17" t="s">
        <v>618</v>
      </c>
      <c r="I45" s="17"/>
      <c r="J45" s="17" t="s">
        <v>1889</v>
      </c>
      <c r="K45" s="17" t="s">
        <v>404</v>
      </c>
      <c r="L45" s="19"/>
      <c r="M45" s="17" t="s">
        <v>345</v>
      </c>
      <c r="N45" s="59">
        <v>1288900</v>
      </c>
      <c r="O45" s="17">
        <v>1</v>
      </c>
      <c r="P45" s="17"/>
      <c r="Q45" s="28"/>
      <c r="R45" s="17" t="s">
        <v>532</v>
      </c>
      <c r="S45" s="17"/>
      <c r="T45" s="35" t="s">
        <v>1963</v>
      </c>
      <c r="U45" s="28">
        <v>45985</v>
      </c>
      <c r="V45" s="17"/>
    </row>
    <row r="46" spans="1:22" ht="30" customHeight="1" x14ac:dyDescent="0.25">
      <c r="A46" s="17">
        <f>SUBTOTAL(103,B$2:B46)*1</f>
        <v>45</v>
      </c>
      <c r="B46" s="17" t="s">
        <v>292</v>
      </c>
      <c r="C46" s="18" t="s">
        <v>156</v>
      </c>
      <c r="D46" s="17" t="s">
        <v>38</v>
      </c>
      <c r="E46" s="17"/>
      <c r="F46" s="17"/>
      <c r="G46" s="17" t="s">
        <v>82</v>
      </c>
      <c r="H46" s="17" t="s">
        <v>622</v>
      </c>
      <c r="I46" s="17" t="s">
        <v>647</v>
      </c>
      <c r="J46" s="17" t="s">
        <v>39</v>
      </c>
      <c r="K46" s="17" t="s">
        <v>405</v>
      </c>
      <c r="L46" s="19"/>
      <c r="M46" s="17" t="s">
        <v>1460</v>
      </c>
      <c r="N46" s="19">
        <v>245244</v>
      </c>
      <c r="O46" s="17">
        <v>2</v>
      </c>
      <c r="P46" s="17"/>
      <c r="Q46" s="28"/>
      <c r="R46" s="17" t="s">
        <v>473</v>
      </c>
      <c r="S46" s="18" t="s">
        <v>2196</v>
      </c>
      <c r="T46" s="20"/>
      <c r="U46" s="28">
        <v>45803</v>
      </c>
      <c r="V46" s="28"/>
    </row>
    <row r="47" spans="1:22" ht="30" customHeight="1" x14ac:dyDescent="0.25">
      <c r="A47" s="17">
        <f>SUBTOTAL(103,B$2:B47)*1</f>
        <v>46</v>
      </c>
      <c r="B47" s="17" t="s">
        <v>292</v>
      </c>
      <c r="C47" s="18" t="s">
        <v>183</v>
      </c>
      <c r="D47" s="17" t="s">
        <v>38</v>
      </c>
      <c r="E47" s="17"/>
      <c r="F47" s="17"/>
      <c r="G47" s="17" t="s">
        <v>71</v>
      </c>
      <c r="H47" s="17" t="s">
        <v>619</v>
      </c>
      <c r="I47" s="17"/>
      <c r="J47" s="17" t="s">
        <v>39</v>
      </c>
      <c r="K47" s="17" t="s">
        <v>405</v>
      </c>
      <c r="L47" s="19"/>
      <c r="M47" s="17" t="s">
        <v>1460</v>
      </c>
      <c r="N47" s="19">
        <v>210000</v>
      </c>
      <c r="O47" s="17"/>
      <c r="P47" s="17"/>
      <c r="Q47" s="28"/>
      <c r="R47" s="17" t="s">
        <v>473</v>
      </c>
      <c r="S47" s="18" t="s">
        <v>2197</v>
      </c>
      <c r="T47" s="20"/>
      <c r="U47" s="28">
        <v>45915</v>
      </c>
      <c r="V47" s="17"/>
    </row>
    <row r="48" spans="1:22" ht="30" customHeight="1" x14ac:dyDescent="0.25">
      <c r="A48" s="17">
        <f>SUBTOTAL(103,B$2:B48)*1</f>
        <v>47</v>
      </c>
      <c r="B48" s="17" t="s">
        <v>292</v>
      </c>
      <c r="C48" s="18" t="s">
        <v>185</v>
      </c>
      <c r="D48" s="17" t="s">
        <v>38</v>
      </c>
      <c r="E48" s="17"/>
      <c r="F48" s="17"/>
      <c r="G48" s="17" t="s">
        <v>71</v>
      </c>
      <c r="H48" s="17" t="s">
        <v>619</v>
      </c>
      <c r="I48" s="17"/>
      <c r="J48" s="17" t="s">
        <v>39</v>
      </c>
      <c r="K48" s="17" t="s">
        <v>405</v>
      </c>
      <c r="L48" s="19"/>
      <c r="M48" s="17" t="s">
        <v>1460</v>
      </c>
      <c r="N48" s="19">
        <v>203472</v>
      </c>
      <c r="O48" s="17"/>
      <c r="P48" s="17"/>
      <c r="Q48" s="28"/>
      <c r="R48" s="17" t="s">
        <v>473</v>
      </c>
      <c r="S48" s="18" t="s">
        <v>2529</v>
      </c>
      <c r="T48" s="20"/>
      <c r="U48" s="28">
        <v>45915</v>
      </c>
      <c r="V48" s="17"/>
    </row>
    <row r="49" spans="1:22" ht="30" customHeight="1" x14ac:dyDescent="0.25">
      <c r="A49" s="17">
        <f>SUBTOTAL(103,B$2:B49)*1</f>
        <v>48</v>
      </c>
      <c r="B49" s="17" t="s">
        <v>292</v>
      </c>
      <c r="C49" s="18" t="s">
        <v>1458</v>
      </c>
      <c r="D49" s="17" t="s">
        <v>38</v>
      </c>
      <c r="E49" s="17"/>
      <c r="F49" s="17"/>
      <c r="G49" s="17" t="s">
        <v>71</v>
      </c>
      <c r="H49" s="17" t="s">
        <v>619</v>
      </c>
      <c r="I49" s="17"/>
      <c r="J49" s="17" t="s">
        <v>39</v>
      </c>
      <c r="K49" s="17" t="s">
        <v>405</v>
      </c>
      <c r="L49" s="19"/>
      <c r="M49" s="17" t="s">
        <v>1460</v>
      </c>
      <c r="N49" s="19">
        <v>200796</v>
      </c>
      <c r="O49" s="17"/>
      <c r="P49" s="17"/>
      <c r="Q49" s="28"/>
      <c r="R49" s="17" t="s">
        <v>473</v>
      </c>
      <c r="S49" s="18" t="s">
        <v>2184</v>
      </c>
      <c r="T49" s="20"/>
      <c r="U49" s="28">
        <v>45915</v>
      </c>
      <c r="V49" s="17"/>
    </row>
    <row r="50" spans="1:22" ht="30" customHeight="1" x14ac:dyDescent="0.25">
      <c r="A50" s="17">
        <f>SUBTOTAL(103,B$2:B50)*1</f>
        <v>49</v>
      </c>
      <c r="B50" s="17" t="s">
        <v>292</v>
      </c>
      <c r="C50" s="18" t="s">
        <v>184</v>
      </c>
      <c r="D50" s="17" t="s">
        <v>38</v>
      </c>
      <c r="E50" s="17"/>
      <c r="F50" s="17"/>
      <c r="G50" s="17" t="s">
        <v>71</v>
      </c>
      <c r="H50" s="17" t="s">
        <v>622</v>
      </c>
      <c r="I50" s="17"/>
      <c r="J50" s="17" t="s">
        <v>39</v>
      </c>
      <c r="K50" s="17" t="s">
        <v>405</v>
      </c>
      <c r="L50" s="19"/>
      <c r="M50" s="17" t="s">
        <v>1460</v>
      </c>
      <c r="N50" s="19">
        <v>322564</v>
      </c>
      <c r="O50" s="17"/>
      <c r="P50" s="17"/>
      <c r="Q50" s="28"/>
      <c r="R50" s="17" t="s">
        <v>473</v>
      </c>
      <c r="S50" s="18" t="s">
        <v>2185</v>
      </c>
      <c r="T50" s="20"/>
      <c r="U50" s="28"/>
      <c r="V50" s="17"/>
    </row>
    <row r="51" spans="1:22" ht="30" customHeight="1" x14ac:dyDescent="0.25">
      <c r="A51" s="17">
        <f>SUBTOTAL(103,B$2:B51)*1</f>
        <v>50</v>
      </c>
      <c r="B51" s="17" t="s">
        <v>292</v>
      </c>
      <c r="C51" s="18" t="s">
        <v>2138</v>
      </c>
      <c r="D51" s="17" t="s">
        <v>38</v>
      </c>
      <c r="E51" s="17"/>
      <c r="F51" s="17"/>
      <c r="G51" s="17" t="s">
        <v>71</v>
      </c>
      <c r="H51" s="17" t="s">
        <v>619</v>
      </c>
      <c r="I51" s="17"/>
      <c r="J51" s="17" t="s">
        <v>39</v>
      </c>
      <c r="K51" s="17" t="s">
        <v>405</v>
      </c>
      <c r="L51" s="19"/>
      <c r="M51" s="17" t="s">
        <v>1460</v>
      </c>
      <c r="N51" s="19">
        <v>110430</v>
      </c>
      <c r="O51" s="17"/>
      <c r="P51" s="17"/>
      <c r="Q51" s="28"/>
      <c r="R51" s="17" t="s">
        <v>473</v>
      </c>
      <c r="S51" s="18" t="s">
        <v>2186</v>
      </c>
      <c r="T51" s="20"/>
      <c r="U51" s="28"/>
      <c r="V51" s="17"/>
    </row>
    <row r="52" spans="1:22" ht="30" customHeight="1" x14ac:dyDescent="0.25">
      <c r="A52" s="17">
        <f>SUBTOTAL(103,B$2:B52)*1</f>
        <v>51</v>
      </c>
      <c r="B52" s="17" t="s">
        <v>292</v>
      </c>
      <c r="C52" s="18" t="s">
        <v>1462</v>
      </c>
      <c r="D52" s="17" t="s">
        <v>38</v>
      </c>
      <c r="E52" s="17"/>
      <c r="F52" s="17"/>
      <c r="G52" s="17" t="s">
        <v>82</v>
      </c>
      <c r="H52" s="17" t="s">
        <v>622</v>
      </c>
      <c r="I52" s="17"/>
      <c r="J52" s="17" t="s">
        <v>39</v>
      </c>
      <c r="K52" s="17" t="s">
        <v>405</v>
      </c>
      <c r="L52" s="19"/>
      <c r="M52" s="17" t="s">
        <v>1460</v>
      </c>
      <c r="N52" s="19">
        <v>173580</v>
      </c>
      <c r="O52" s="17">
        <v>4</v>
      </c>
      <c r="P52" s="17"/>
      <c r="Q52" s="28"/>
      <c r="R52" s="17" t="s">
        <v>473</v>
      </c>
      <c r="S52" s="18" t="s">
        <v>2187</v>
      </c>
      <c r="T52" s="20"/>
      <c r="U52" s="28">
        <v>45943</v>
      </c>
      <c r="V52" s="17"/>
    </row>
    <row r="53" spans="1:22" ht="30" customHeight="1" x14ac:dyDescent="0.25">
      <c r="A53" s="17">
        <f>SUBTOTAL(103,B$2:B53)*1</f>
        <v>52</v>
      </c>
      <c r="B53" s="17" t="s">
        <v>292</v>
      </c>
      <c r="C53" s="18" t="s">
        <v>2137</v>
      </c>
      <c r="D53" s="17" t="s">
        <v>38</v>
      </c>
      <c r="E53" s="17"/>
      <c r="F53" s="17"/>
      <c r="G53" s="17" t="s">
        <v>82</v>
      </c>
      <c r="H53" s="17" t="s">
        <v>619</v>
      </c>
      <c r="I53" s="17"/>
      <c r="J53" s="17" t="s">
        <v>39</v>
      </c>
      <c r="K53" s="17" t="s">
        <v>405</v>
      </c>
      <c r="L53" s="19"/>
      <c r="M53" s="17" t="s">
        <v>1460</v>
      </c>
      <c r="N53" s="19">
        <v>321211</v>
      </c>
      <c r="O53" s="17"/>
      <c r="P53" s="17"/>
      <c r="Q53" s="28"/>
      <c r="R53" s="17" t="s">
        <v>473</v>
      </c>
      <c r="S53" s="61" t="s">
        <v>2198</v>
      </c>
      <c r="T53" s="20"/>
      <c r="U53" s="28"/>
      <c r="V53" s="17"/>
    </row>
    <row r="54" spans="1:22" ht="30" customHeight="1" x14ac:dyDescent="0.25">
      <c r="A54" s="17">
        <f>SUBTOTAL(103,B$2:B54)*1</f>
        <v>53</v>
      </c>
      <c r="B54" s="17" t="s">
        <v>292</v>
      </c>
      <c r="C54" s="18" t="s">
        <v>1620</v>
      </c>
      <c r="D54" s="18" t="s">
        <v>38</v>
      </c>
      <c r="E54" s="17"/>
      <c r="F54" s="17"/>
      <c r="G54" s="17" t="s">
        <v>82</v>
      </c>
      <c r="H54" s="17" t="s">
        <v>619</v>
      </c>
      <c r="I54" s="17"/>
      <c r="J54" s="17" t="s">
        <v>39</v>
      </c>
      <c r="K54" s="17" t="s">
        <v>405</v>
      </c>
      <c r="L54" s="19"/>
      <c r="M54" s="17" t="s">
        <v>1460</v>
      </c>
      <c r="N54" s="19">
        <v>236428</v>
      </c>
      <c r="O54" s="17">
        <v>2</v>
      </c>
      <c r="P54" s="17"/>
      <c r="Q54" s="28"/>
      <c r="R54" s="17" t="s">
        <v>473</v>
      </c>
      <c r="S54" s="61" t="s">
        <v>2190</v>
      </c>
      <c r="T54" s="20"/>
      <c r="U54" s="28">
        <v>46034</v>
      </c>
      <c r="V54" s="17"/>
    </row>
    <row r="55" spans="1:22" ht="30" customHeight="1" x14ac:dyDescent="0.25">
      <c r="A55" s="17">
        <f>SUBTOTAL(103,B$2:B55)*1</f>
        <v>54</v>
      </c>
      <c r="B55" s="17" t="s">
        <v>292</v>
      </c>
      <c r="C55" s="18" t="s">
        <v>525</v>
      </c>
      <c r="D55" s="17" t="s">
        <v>38</v>
      </c>
      <c r="E55" s="17"/>
      <c r="F55" s="17"/>
      <c r="G55" s="17" t="s">
        <v>32</v>
      </c>
      <c r="H55" s="17" t="s">
        <v>622</v>
      </c>
      <c r="I55" s="17"/>
      <c r="J55" s="17" t="s">
        <v>39</v>
      </c>
      <c r="K55" s="17" t="s">
        <v>405</v>
      </c>
      <c r="L55" s="19"/>
      <c r="M55" s="17" t="s">
        <v>1460</v>
      </c>
      <c r="N55" s="19">
        <v>76280</v>
      </c>
      <c r="O55" s="17">
        <v>2</v>
      </c>
      <c r="P55" s="17"/>
      <c r="Q55" s="28"/>
      <c r="R55" s="17" t="s">
        <v>473</v>
      </c>
      <c r="S55" s="61" t="s">
        <v>2189</v>
      </c>
      <c r="T55" s="20"/>
      <c r="U55" s="28">
        <v>45922</v>
      </c>
      <c r="V55" s="28"/>
    </row>
    <row r="56" spans="1:22" ht="30" customHeight="1" x14ac:dyDescent="0.25">
      <c r="A56" s="17">
        <f>SUBTOTAL(103,B$2:B56)*1</f>
        <v>55</v>
      </c>
      <c r="B56" s="17" t="s">
        <v>292</v>
      </c>
      <c r="C56" s="18" t="s">
        <v>2053</v>
      </c>
      <c r="D56" s="18" t="s">
        <v>38</v>
      </c>
      <c r="E56" s="17"/>
      <c r="F56" s="17"/>
      <c r="G56" s="17" t="s">
        <v>99</v>
      </c>
      <c r="H56" s="17" t="s">
        <v>619</v>
      </c>
      <c r="I56" s="17"/>
      <c r="J56" s="17" t="s">
        <v>39</v>
      </c>
      <c r="K56" s="17" t="s">
        <v>405</v>
      </c>
      <c r="L56" s="19"/>
      <c r="M56" s="17" t="s">
        <v>1460</v>
      </c>
      <c r="N56" s="19">
        <v>406505</v>
      </c>
      <c r="O56" s="17">
        <v>1</v>
      </c>
      <c r="P56" s="17"/>
      <c r="Q56" s="28"/>
      <c r="R56" s="17" t="s">
        <v>473</v>
      </c>
      <c r="S56" s="61" t="s">
        <v>2195</v>
      </c>
      <c r="T56" s="20"/>
      <c r="U56" s="28">
        <v>45999</v>
      </c>
      <c r="V56" s="17"/>
    </row>
    <row r="57" spans="1:22" ht="30" customHeight="1" x14ac:dyDescent="0.25">
      <c r="A57" s="17">
        <f>SUBTOTAL(103,B$2:B57)*1</f>
        <v>56</v>
      </c>
      <c r="B57" s="17" t="s">
        <v>292</v>
      </c>
      <c r="C57" s="18" t="s">
        <v>2052</v>
      </c>
      <c r="D57" s="18" t="s">
        <v>38</v>
      </c>
      <c r="E57" s="17"/>
      <c r="F57" s="17"/>
      <c r="G57" s="17" t="s">
        <v>99</v>
      </c>
      <c r="H57" s="17" t="s">
        <v>619</v>
      </c>
      <c r="I57" s="17"/>
      <c r="J57" s="17" t="s">
        <v>39</v>
      </c>
      <c r="K57" s="17" t="s">
        <v>405</v>
      </c>
      <c r="L57" s="19"/>
      <c r="M57" s="17" t="s">
        <v>1460</v>
      </c>
      <c r="N57" s="19">
        <v>554730</v>
      </c>
      <c r="O57" s="17">
        <v>1</v>
      </c>
      <c r="P57" s="17"/>
      <c r="Q57" s="28"/>
      <c r="R57" s="17" t="s">
        <v>473</v>
      </c>
      <c r="S57" s="61" t="s">
        <v>2191</v>
      </c>
      <c r="T57" s="20"/>
      <c r="U57" s="28">
        <v>45999</v>
      </c>
      <c r="V57" s="17"/>
    </row>
    <row r="58" spans="1:22" ht="30" customHeight="1" x14ac:dyDescent="0.25">
      <c r="A58" s="17">
        <f>SUBTOTAL(103,B$2:B58)*1</f>
        <v>57</v>
      </c>
      <c r="B58" s="17" t="s">
        <v>292</v>
      </c>
      <c r="C58" s="18" t="s">
        <v>1444</v>
      </c>
      <c r="D58" s="18" t="s">
        <v>38</v>
      </c>
      <c r="E58" s="17"/>
      <c r="F58" s="17"/>
      <c r="G58" s="17" t="s">
        <v>625</v>
      </c>
      <c r="H58" s="17" t="s">
        <v>619</v>
      </c>
      <c r="I58" s="17"/>
      <c r="J58" s="17" t="s">
        <v>39</v>
      </c>
      <c r="K58" s="17" t="s">
        <v>405</v>
      </c>
      <c r="L58" s="19"/>
      <c r="M58" s="17" t="s">
        <v>1460</v>
      </c>
      <c r="N58" s="19">
        <v>181700</v>
      </c>
      <c r="O58" s="17">
        <v>2</v>
      </c>
      <c r="P58" s="17"/>
      <c r="Q58" s="28"/>
      <c r="R58" s="17" t="s">
        <v>473</v>
      </c>
      <c r="S58" s="61" t="s">
        <v>2188</v>
      </c>
      <c r="T58" s="20"/>
      <c r="U58" s="28">
        <v>45978</v>
      </c>
      <c r="V58" s="28"/>
    </row>
    <row r="59" spans="1:22" ht="30" customHeight="1" x14ac:dyDescent="0.25">
      <c r="A59" s="17">
        <f>SUBTOTAL(103,B$2:B59)*1</f>
        <v>58</v>
      </c>
      <c r="B59" s="17" t="s">
        <v>292</v>
      </c>
      <c r="C59" s="18" t="s">
        <v>1818</v>
      </c>
      <c r="D59" s="18" t="s">
        <v>38</v>
      </c>
      <c r="E59" s="17"/>
      <c r="F59" s="17"/>
      <c r="G59" s="17" t="s">
        <v>625</v>
      </c>
      <c r="H59" s="17" t="s">
        <v>619</v>
      </c>
      <c r="I59" s="17"/>
      <c r="J59" s="17" t="s">
        <v>39</v>
      </c>
      <c r="K59" s="17" t="s">
        <v>405</v>
      </c>
      <c r="L59" s="19"/>
      <c r="M59" s="17" t="s">
        <v>1460</v>
      </c>
      <c r="N59" s="19">
        <v>178860</v>
      </c>
      <c r="O59" s="17">
        <v>7</v>
      </c>
      <c r="P59" s="17"/>
      <c r="Q59" s="28"/>
      <c r="R59" s="17" t="s">
        <v>473</v>
      </c>
      <c r="S59" s="61" t="s">
        <v>2192</v>
      </c>
      <c r="T59" s="20"/>
      <c r="U59" s="28">
        <v>46006</v>
      </c>
      <c r="V59" s="28"/>
    </row>
    <row r="60" spans="1:22" ht="30" customHeight="1" x14ac:dyDescent="0.25">
      <c r="A60" s="17">
        <f>SUBTOTAL(103,B$2:B60)*1</f>
        <v>59</v>
      </c>
      <c r="B60" s="17" t="s">
        <v>292</v>
      </c>
      <c r="C60" s="18" t="s">
        <v>803</v>
      </c>
      <c r="D60" s="17" t="s">
        <v>38</v>
      </c>
      <c r="E60" s="17"/>
      <c r="F60" s="17"/>
      <c r="G60" s="17" t="s">
        <v>625</v>
      </c>
      <c r="H60" s="17" t="s">
        <v>619</v>
      </c>
      <c r="I60" s="17"/>
      <c r="J60" s="17" t="s">
        <v>39</v>
      </c>
      <c r="K60" s="17" t="s">
        <v>405</v>
      </c>
      <c r="L60" s="19"/>
      <c r="M60" s="17" t="s">
        <v>1460</v>
      </c>
      <c r="N60" s="19">
        <v>459466</v>
      </c>
      <c r="O60" s="17">
        <v>6</v>
      </c>
      <c r="P60" s="17"/>
      <c r="Q60" s="28"/>
      <c r="R60" s="17" t="s">
        <v>473</v>
      </c>
      <c r="S60" s="18" t="s">
        <v>2193</v>
      </c>
      <c r="T60" s="20"/>
      <c r="U60" s="28">
        <v>45957</v>
      </c>
      <c r="V60" s="28"/>
    </row>
    <row r="61" spans="1:22" ht="30" customHeight="1" x14ac:dyDescent="0.25">
      <c r="A61" s="17">
        <f>SUBTOTAL(103,B$2:B61)*1</f>
        <v>60</v>
      </c>
      <c r="B61" s="17" t="s">
        <v>292</v>
      </c>
      <c r="C61" s="18" t="s">
        <v>801</v>
      </c>
      <c r="D61" s="17" t="s">
        <v>38</v>
      </c>
      <c r="E61" s="17"/>
      <c r="F61" s="17"/>
      <c r="G61" s="17" t="s">
        <v>625</v>
      </c>
      <c r="H61" s="17" t="s">
        <v>619</v>
      </c>
      <c r="I61" s="17"/>
      <c r="J61" s="17" t="s">
        <v>39</v>
      </c>
      <c r="K61" s="17" t="s">
        <v>405</v>
      </c>
      <c r="L61" s="19"/>
      <c r="M61" s="17" t="s">
        <v>1460</v>
      </c>
      <c r="N61" s="19">
        <v>266108</v>
      </c>
      <c r="O61" s="17">
        <v>3</v>
      </c>
      <c r="P61" s="17"/>
      <c r="Q61" s="28"/>
      <c r="R61" s="17" t="s">
        <v>473</v>
      </c>
      <c r="S61" s="61" t="s">
        <v>2194</v>
      </c>
      <c r="T61" s="20"/>
      <c r="U61" s="28">
        <v>45915</v>
      </c>
      <c r="V61" s="28"/>
    </row>
    <row r="62" spans="1:22" ht="30" customHeight="1" x14ac:dyDescent="0.25">
      <c r="A62" s="17">
        <f>SUBTOTAL(103,B$2:B62)*1</f>
        <v>61</v>
      </c>
      <c r="B62" s="17" t="s">
        <v>292</v>
      </c>
      <c r="C62" s="18" t="s">
        <v>1552</v>
      </c>
      <c r="D62" s="18" t="s">
        <v>314</v>
      </c>
      <c r="E62" s="17"/>
      <c r="F62" s="17"/>
      <c r="G62" s="17" t="s">
        <v>63</v>
      </c>
      <c r="H62" s="17" t="s">
        <v>619</v>
      </c>
      <c r="I62" s="17"/>
      <c r="J62" s="17" t="s">
        <v>39</v>
      </c>
      <c r="K62" s="17" t="s">
        <v>405</v>
      </c>
      <c r="L62" s="19"/>
      <c r="M62" s="17" t="s">
        <v>1460</v>
      </c>
      <c r="N62" s="19">
        <v>91500</v>
      </c>
      <c r="O62" s="17">
        <v>2</v>
      </c>
      <c r="P62" s="17"/>
      <c r="Q62" s="28"/>
      <c r="R62" s="17" t="s">
        <v>473</v>
      </c>
      <c r="S62" s="61" t="s">
        <v>2508</v>
      </c>
      <c r="T62" s="20"/>
      <c r="U62" s="28">
        <v>45950</v>
      </c>
      <c r="V62" s="17"/>
    </row>
    <row r="63" spans="1:22" ht="45" x14ac:dyDescent="0.25">
      <c r="A63" s="17">
        <f>SUBTOTAL(103,B$2:B63)*1</f>
        <v>62</v>
      </c>
      <c r="B63" s="17" t="s">
        <v>292</v>
      </c>
      <c r="C63" s="18" t="s">
        <v>1608</v>
      </c>
      <c r="D63" s="17" t="s">
        <v>38</v>
      </c>
      <c r="E63" s="17"/>
      <c r="F63" s="17"/>
      <c r="G63" s="17" t="s">
        <v>82</v>
      </c>
      <c r="H63" s="17" t="s">
        <v>622</v>
      </c>
      <c r="I63" s="17"/>
      <c r="J63" s="17" t="s">
        <v>39</v>
      </c>
      <c r="K63" s="17" t="s">
        <v>405</v>
      </c>
      <c r="L63" s="19"/>
      <c r="M63" s="17" t="s">
        <v>1460</v>
      </c>
      <c r="N63" s="19">
        <f>152808.18+175900</f>
        <v>328708.18</v>
      </c>
      <c r="O63" s="17">
        <v>7</v>
      </c>
      <c r="P63" s="17"/>
      <c r="Q63" s="28"/>
      <c r="R63" s="17" t="s">
        <v>473</v>
      </c>
      <c r="S63" s="61" t="s">
        <v>2509</v>
      </c>
      <c r="T63" s="20"/>
      <c r="U63" s="28">
        <v>46013</v>
      </c>
      <c r="V63" s="28"/>
    </row>
    <row r="64" spans="1:22" ht="30" customHeight="1" x14ac:dyDescent="0.25">
      <c r="A64" s="17">
        <f>SUBTOTAL(103,B$2:B64)*1</f>
        <v>63</v>
      </c>
      <c r="B64" s="62" t="s">
        <v>2535</v>
      </c>
      <c r="C64" s="18" t="s">
        <v>52</v>
      </c>
      <c r="D64" s="17" t="s">
        <v>38</v>
      </c>
      <c r="E64" s="17"/>
      <c r="F64" s="17"/>
      <c r="G64" s="17" t="s">
        <v>607</v>
      </c>
      <c r="H64" s="17" t="s">
        <v>622</v>
      </c>
      <c r="I64" s="17"/>
      <c r="J64" s="17" t="s">
        <v>39</v>
      </c>
      <c r="K64" s="17" t="s">
        <v>405</v>
      </c>
      <c r="L64" s="19"/>
      <c r="M64" s="17" t="s">
        <v>1460</v>
      </c>
      <c r="N64" s="19">
        <v>240790</v>
      </c>
      <c r="O64" s="17">
        <v>3</v>
      </c>
      <c r="P64" s="17"/>
      <c r="Q64" s="28"/>
      <c r="R64" s="17" t="s">
        <v>473</v>
      </c>
      <c r="S64" s="65" t="s">
        <v>2183</v>
      </c>
      <c r="T64" s="20"/>
      <c r="U64" s="28">
        <v>46062</v>
      </c>
      <c r="V64" s="28"/>
    </row>
    <row r="65" spans="1:23" ht="30" customHeight="1" x14ac:dyDescent="0.25">
      <c r="A65" s="17">
        <f>SUBTOTAL(103,B$2:B65)*1</f>
        <v>64</v>
      </c>
      <c r="B65" s="17" t="s">
        <v>292</v>
      </c>
      <c r="C65" s="18" t="s">
        <v>720</v>
      </c>
      <c r="D65" s="17" t="s">
        <v>38</v>
      </c>
      <c r="E65" s="17"/>
      <c r="F65" s="17"/>
      <c r="G65" s="17" t="s">
        <v>32</v>
      </c>
      <c r="H65" s="17" t="s">
        <v>619</v>
      </c>
      <c r="I65" s="17"/>
      <c r="J65" s="17" t="s">
        <v>39</v>
      </c>
      <c r="K65" s="17" t="s">
        <v>405</v>
      </c>
      <c r="L65" s="19"/>
      <c r="M65" s="17" t="s">
        <v>1460</v>
      </c>
      <c r="N65" s="19">
        <v>105800</v>
      </c>
      <c r="O65" s="17">
        <v>1</v>
      </c>
      <c r="P65" s="17"/>
      <c r="Q65" s="28"/>
      <c r="R65" s="17" t="s">
        <v>473</v>
      </c>
      <c r="S65" s="66" t="s">
        <v>2199</v>
      </c>
      <c r="T65" s="20"/>
      <c r="U65" s="28">
        <v>45922</v>
      </c>
      <c r="V65" s="28"/>
    </row>
    <row r="66" spans="1:23" ht="30" customHeight="1" x14ac:dyDescent="0.25">
      <c r="A66" s="17">
        <f>SUBTOTAL(103,B$2:B66)*1</f>
        <v>65</v>
      </c>
      <c r="B66" s="17" t="s">
        <v>292</v>
      </c>
      <c r="C66" s="18" t="s">
        <v>836</v>
      </c>
      <c r="D66" s="18" t="s">
        <v>38</v>
      </c>
      <c r="E66" s="17"/>
      <c r="F66" s="17"/>
      <c r="G66" s="17" t="s">
        <v>625</v>
      </c>
      <c r="H66" s="17" t="s">
        <v>619</v>
      </c>
      <c r="I66" s="17"/>
      <c r="J66" s="17" t="s">
        <v>39</v>
      </c>
      <c r="K66" s="17" t="s">
        <v>405</v>
      </c>
      <c r="L66" s="19"/>
      <c r="M66" s="17" t="s">
        <v>1460</v>
      </c>
      <c r="N66" s="19">
        <v>76010</v>
      </c>
      <c r="O66" s="17">
        <v>1</v>
      </c>
      <c r="P66" s="17"/>
      <c r="Q66" s="28"/>
      <c r="R66" s="17" t="s">
        <v>473</v>
      </c>
      <c r="S66" s="67" t="s">
        <v>2200</v>
      </c>
      <c r="T66" s="20"/>
      <c r="U66" s="28">
        <v>45824</v>
      </c>
      <c r="V66" s="28"/>
    </row>
    <row r="67" spans="1:23" ht="30" customHeight="1" x14ac:dyDescent="0.25">
      <c r="A67" s="17">
        <f>SUBTOTAL(103,B$2:B67)*1</f>
        <v>66</v>
      </c>
      <c r="B67" s="17" t="s">
        <v>292</v>
      </c>
      <c r="C67" s="18" t="s">
        <v>50</v>
      </c>
      <c r="D67" s="18" t="s">
        <v>38</v>
      </c>
      <c r="E67" s="17"/>
      <c r="F67" s="17"/>
      <c r="G67" s="17" t="s">
        <v>82</v>
      </c>
      <c r="H67" s="17" t="s">
        <v>619</v>
      </c>
      <c r="I67" s="17"/>
      <c r="J67" s="17" t="s">
        <v>39</v>
      </c>
      <c r="K67" s="17" t="s">
        <v>405</v>
      </c>
      <c r="L67" s="19"/>
      <c r="M67" s="17" t="s">
        <v>1460</v>
      </c>
      <c r="N67" s="19">
        <v>268273</v>
      </c>
      <c r="O67" s="17">
        <v>3</v>
      </c>
      <c r="P67" s="17"/>
      <c r="Q67" s="28"/>
      <c r="R67" s="17" t="s">
        <v>473</v>
      </c>
      <c r="S67" s="68" t="s">
        <v>2201</v>
      </c>
      <c r="T67" s="20"/>
      <c r="U67" s="28">
        <v>45992</v>
      </c>
      <c r="V67" s="28"/>
    </row>
    <row r="68" spans="1:23" ht="30" customHeight="1" x14ac:dyDescent="0.25">
      <c r="A68" s="17">
        <f>SUBTOTAL(103,B$2:B68)*1</f>
        <v>67</v>
      </c>
      <c r="B68" s="17" t="s">
        <v>292</v>
      </c>
      <c r="C68" s="18" t="s">
        <v>1549</v>
      </c>
      <c r="D68" s="18" t="s">
        <v>314</v>
      </c>
      <c r="E68" s="17"/>
      <c r="F68" s="17"/>
      <c r="G68" s="17" t="s">
        <v>32</v>
      </c>
      <c r="H68" s="17" t="s">
        <v>619</v>
      </c>
      <c r="I68" s="17"/>
      <c r="J68" s="17" t="s">
        <v>39</v>
      </c>
      <c r="K68" s="17" t="s">
        <v>405</v>
      </c>
      <c r="L68" s="19"/>
      <c r="M68" s="17" t="s">
        <v>1460</v>
      </c>
      <c r="N68" s="19">
        <v>79500</v>
      </c>
      <c r="O68" s="17">
        <v>1</v>
      </c>
      <c r="P68" s="17"/>
      <c r="Q68" s="28"/>
      <c r="R68" s="17" t="s">
        <v>473</v>
      </c>
      <c r="S68" s="69" t="s">
        <v>2202</v>
      </c>
      <c r="T68" s="20"/>
      <c r="U68" s="28">
        <v>45922</v>
      </c>
      <c r="V68" s="28"/>
    </row>
    <row r="69" spans="1:23" ht="30" customHeight="1" x14ac:dyDescent="0.25">
      <c r="A69" s="17">
        <f>SUBTOTAL(103,B$2:B69)*1</f>
        <v>68</v>
      </c>
      <c r="B69" s="17" t="s">
        <v>440</v>
      </c>
      <c r="C69" s="18" t="s">
        <v>448</v>
      </c>
      <c r="D69" s="17" t="s">
        <v>298</v>
      </c>
      <c r="E69" s="17" t="s">
        <v>97</v>
      </c>
      <c r="F69" s="17"/>
      <c r="G69" s="17" t="s">
        <v>82</v>
      </c>
      <c r="H69" s="17" t="s">
        <v>619</v>
      </c>
      <c r="I69" s="17" t="s">
        <v>441</v>
      </c>
      <c r="J69" s="17" t="s">
        <v>470</v>
      </c>
      <c r="K69" s="17" t="s">
        <v>404</v>
      </c>
      <c r="L69" s="19">
        <v>400000</v>
      </c>
      <c r="M69" s="19" t="s">
        <v>319</v>
      </c>
      <c r="N69" s="17"/>
      <c r="O69" s="19"/>
      <c r="P69" s="19"/>
      <c r="Q69" s="28"/>
      <c r="R69" s="17" t="s">
        <v>443</v>
      </c>
      <c r="S69" s="17"/>
      <c r="T69" s="20" t="s">
        <v>449</v>
      </c>
      <c r="U69" s="28">
        <v>45799</v>
      </c>
      <c r="V69" s="28"/>
    </row>
    <row r="70" spans="1:23" ht="30" customHeight="1" x14ac:dyDescent="0.25">
      <c r="A70" s="17">
        <f>SUBTOTAL(103,B$2:B70)*1</f>
        <v>69</v>
      </c>
      <c r="B70" s="17" t="s">
        <v>485</v>
      </c>
      <c r="C70" s="18" t="s">
        <v>490</v>
      </c>
      <c r="D70" s="17" t="s">
        <v>527</v>
      </c>
      <c r="E70" s="17"/>
      <c r="F70" s="17"/>
      <c r="G70" s="17" t="s">
        <v>519</v>
      </c>
      <c r="H70" s="17" t="s">
        <v>624</v>
      </c>
      <c r="I70" s="17"/>
      <c r="J70" s="17" t="s">
        <v>489</v>
      </c>
      <c r="K70" s="17" t="s">
        <v>499</v>
      </c>
      <c r="L70" s="19"/>
      <c r="M70" s="21" t="s">
        <v>319</v>
      </c>
      <c r="N70" s="19"/>
      <c r="O70" s="17">
        <v>1</v>
      </c>
      <c r="P70" s="17"/>
      <c r="Q70" s="28"/>
      <c r="R70" s="17" t="s">
        <v>474</v>
      </c>
      <c r="S70" s="17"/>
      <c r="T70" s="20" t="s">
        <v>735</v>
      </c>
      <c r="U70" s="28">
        <v>45799</v>
      </c>
      <c r="V70" s="28" t="s">
        <v>946</v>
      </c>
    </row>
    <row r="71" spans="1:23" ht="45" x14ac:dyDescent="0.25">
      <c r="A71" s="17">
        <f>SUBTOTAL(103,B$2:B71)*1</f>
        <v>70</v>
      </c>
      <c r="B71" s="17" t="s">
        <v>393</v>
      </c>
      <c r="C71" s="18" t="s">
        <v>394</v>
      </c>
      <c r="D71" s="17" t="s">
        <v>9</v>
      </c>
      <c r="E71" s="17"/>
      <c r="F71" s="17"/>
      <c r="G71" s="17" t="s">
        <v>65</v>
      </c>
      <c r="H71" s="17" t="s">
        <v>620</v>
      </c>
      <c r="I71" s="17" t="s">
        <v>385</v>
      </c>
      <c r="J71" s="17" t="s">
        <v>395</v>
      </c>
      <c r="K71" s="17" t="s">
        <v>404</v>
      </c>
      <c r="L71" s="19">
        <v>10000000</v>
      </c>
      <c r="M71" s="17" t="s">
        <v>182</v>
      </c>
      <c r="N71" s="19"/>
      <c r="O71" s="17" t="s">
        <v>396</v>
      </c>
      <c r="P71" s="17" t="s">
        <v>846</v>
      </c>
      <c r="Q71" s="28"/>
      <c r="R71" s="17" t="s">
        <v>386</v>
      </c>
      <c r="S71" s="17"/>
      <c r="T71" s="20" t="s">
        <v>387</v>
      </c>
      <c r="U71" s="28">
        <v>45799</v>
      </c>
      <c r="V71" s="28"/>
    </row>
    <row r="72" spans="1:23" ht="45" x14ac:dyDescent="0.25">
      <c r="A72" s="17">
        <f>SUBTOTAL(103,B$2:B72)*1</f>
        <v>71</v>
      </c>
      <c r="B72" s="17" t="s">
        <v>393</v>
      </c>
      <c r="C72" s="18" t="s">
        <v>403</v>
      </c>
      <c r="D72" s="17" t="s">
        <v>13</v>
      </c>
      <c r="E72" s="17" t="s">
        <v>59</v>
      </c>
      <c r="F72" s="17"/>
      <c r="G72" s="17" t="s">
        <v>16</v>
      </c>
      <c r="H72" s="17" t="s">
        <v>618</v>
      </c>
      <c r="I72" s="17" t="s">
        <v>391</v>
      </c>
      <c r="J72" s="17" t="s">
        <v>400</v>
      </c>
      <c r="K72" s="17" t="s">
        <v>404</v>
      </c>
      <c r="L72" s="19">
        <v>3000000</v>
      </c>
      <c r="M72" s="17" t="s">
        <v>182</v>
      </c>
      <c r="N72" s="19"/>
      <c r="O72" s="17" t="s">
        <v>396</v>
      </c>
      <c r="P72" s="17"/>
      <c r="Q72" s="28"/>
      <c r="R72" s="17" t="s">
        <v>386</v>
      </c>
      <c r="S72" s="17"/>
      <c r="T72" s="20" t="s">
        <v>392</v>
      </c>
      <c r="U72" s="28">
        <v>45799</v>
      </c>
      <c r="V72" s="28"/>
    </row>
    <row r="73" spans="1:23" ht="75" x14ac:dyDescent="0.25">
      <c r="A73" s="17">
        <f>SUBTOTAL(103,B$2:B73)*1</f>
        <v>72</v>
      </c>
      <c r="B73" s="17" t="s">
        <v>292</v>
      </c>
      <c r="C73" s="18" t="s">
        <v>1492</v>
      </c>
      <c r="D73" s="18" t="s">
        <v>304</v>
      </c>
      <c r="E73" s="17"/>
      <c r="F73" s="17"/>
      <c r="G73" s="17" t="s">
        <v>99</v>
      </c>
      <c r="H73" s="17" t="s">
        <v>619</v>
      </c>
      <c r="I73" s="17" t="s">
        <v>660</v>
      </c>
      <c r="J73" s="17" t="s">
        <v>419</v>
      </c>
      <c r="K73" s="17" t="s">
        <v>404</v>
      </c>
      <c r="L73" s="19"/>
      <c r="M73" s="17" t="s">
        <v>182</v>
      </c>
      <c r="N73" s="19"/>
      <c r="O73" s="17">
        <v>1</v>
      </c>
      <c r="P73" s="17"/>
      <c r="Q73" s="28"/>
      <c r="R73" s="17" t="s">
        <v>475</v>
      </c>
      <c r="S73" s="17"/>
      <c r="T73" s="35" t="s">
        <v>1498</v>
      </c>
      <c r="U73" s="28">
        <v>45915</v>
      </c>
      <c r="V73" s="28"/>
    </row>
    <row r="74" spans="1:23" ht="30" customHeight="1" x14ac:dyDescent="0.25">
      <c r="A74" s="17">
        <f>SUBTOTAL(103,B$2:B74)*1</f>
        <v>73</v>
      </c>
      <c r="B74" s="17" t="s">
        <v>292</v>
      </c>
      <c r="C74" s="18" t="s">
        <v>1089</v>
      </c>
      <c r="D74" s="18" t="s">
        <v>30</v>
      </c>
      <c r="E74" s="17"/>
      <c r="F74" s="17"/>
      <c r="G74" s="17" t="s">
        <v>63</v>
      </c>
      <c r="H74" s="17" t="s">
        <v>619</v>
      </c>
      <c r="I74" s="17"/>
      <c r="J74" s="17" t="s">
        <v>120</v>
      </c>
      <c r="K74" s="17" t="s">
        <v>404</v>
      </c>
      <c r="L74" s="19"/>
      <c r="M74" s="17" t="s">
        <v>182</v>
      </c>
      <c r="N74" s="19"/>
      <c r="O74" s="17">
        <v>1</v>
      </c>
      <c r="P74" s="17"/>
      <c r="Q74" s="28"/>
      <c r="R74" s="17" t="s">
        <v>475</v>
      </c>
      <c r="S74" s="17"/>
      <c r="T74" s="35" t="s">
        <v>1117</v>
      </c>
      <c r="U74" s="28">
        <v>45852</v>
      </c>
      <c r="V74" s="28"/>
    </row>
    <row r="75" spans="1:23" ht="30" customHeight="1" x14ac:dyDescent="0.25">
      <c r="A75" s="17">
        <f>SUBTOTAL(103,B$2:B75)*1</f>
        <v>74</v>
      </c>
      <c r="B75" s="17" t="s">
        <v>292</v>
      </c>
      <c r="C75" s="18" t="s">
        <v>92</v>
      </c>
      <c r="D75" s="17" t="s">
        <v>30</v>
      </c>
      <c r="E75" s="17" t="s">
        <v>9</v>
      </c>
      <c r="F75" s="17"/>
      <c r="G75" s="17" t="s">
        <v>91</v>
      </c>
      <c r="H75" s="17" t="s">
        <v>618</v>
      </c>
      <c r="I75" s="17" t="s">
        <v>662</v>
      </c>
      <c r="J75" s="17" t="s">
        <v>417</v>
      </c>
      <c r="K75" s="17" t="s">
        <v>404</v>
      </c>
      <c r="L75" s="19"/>
      <c r="M75" s="17" t="s">
        <v>182</v>
      </c>
      <c r="N75" s="19"/>
      <c r="O75" s="17">
        <v>3</v>
      </c>
      <c r="P75" s="17"/>
      <c r="Q75" s="28"/>
      <c r="R75" s="17" t="s">
        <v>475</v>
      </c>
      <c r="S75" s="17"/>
      <c r="T75" s="20"/>
      <c r="U75" s="28"/>
      <c r="V75" s="17"/>
    </row>
    <row r="76" spans="1:23" ht="30" customHeight="1" x14ac:dyDescent="0.25">
      <c r="A76" s="17">
        <f>SUBTOTAL(103,B$2:B76)*1</f>
        <v>75</v>
      </c>
      <c r="B76" s="17" t="s">
        <v>292</v>
      </c>
      <c r="C76" s="18" t="s">
        <v>1515</v>
      </c>
      <c r="D76" s="18" t="s">
        <v>298</v>
      </c>
      <c r="E76" s="17"/>
      <c r="F76" s="17"/>
      <c r="G76" s="17" t="s">
        <v>82</v>
      </c>
      <c r="H76" s="17" t="s">
        <v>619</v>
      </c>
      <c r="I76" s="17"/>
      <c r="J76" s="17" t="s">
        <v>1515</v>
      </c>
      <c r="K76" s="17" t="s">
        <v>412</v>
      </c>
      <c r="L76" s="19"/>
      <c r="M76" s="21" t="s">
        <v>182</v>
      </c>
      <c r="N76" s="19"/>
      <c r="O76" s="17">
        <v>2</v>
      </c>
      <c r="P76" s="17"/>
      <c r="Q76" s="28"/>
      <c r="R76" s="17" t="s">
        <v>475</v>
      </c>
      <c r="S76" s="17"/>
      <c r="T76" s="35" t="s">
        <v>1578</v>
      </c>
      <c r="U76" s="28">
        <v>45929</v>
      </c>
      <c r="V76" s="28"/>
    </row>
    <row r="77" spans="1:23" ht="30" customHeight="1" x14ac:dyDescent="0.25">
      <c r="A77" s="17">
        <f>SUBTOTAL(103,B$2:B77)*1</f>
        <v>76</v>
      </c>
      <c r="B77" s="17" t="s">
        <v>292</v>
      </c>
      <c r="C77" s="18" t="s">
        <v>205</v>
      </c>
      <c r="D77" s="17" t="s">
        <v>31</v>
      </c>
      <c r="E77" s="17" t="s">
        <v>57</v>
      </c>
      <c r="F77" s="17" t="s">
        <v>159</v>
      </c>
      <c r="G77" s="17" t="s">
        <v>84</v>
      </c>
      <c r="H77" s="17" t="s">
        <v>618</v>
      </c>
      <c r="I77" s="17"/>
      <c r="J77" s="17" t="s">
        <v>205</v>
      </c>
      <c r="K77" s="17" t="s">
        <v>432</v>
      </c>
      <c r="L77" s="19"/>
      <c r="M77" s="17" t="s">
        <v>182</v>
      </c>
      <c r="N77" s="19"/>
      <c r="O77" s="17"/>
      <c r="P77" s="17"/>
      <c r="Q77" s="28"/>
      <c r="R77" s="17" t="s">
        <v>532</v>
      </c>
      <c r="S77" s="17"/>
      <c r="T77" s="20"/>
      <c r="U77" s="28">
        <v>45799</v>
      </c>
      <c r="V77" s="28"/>
    </row>
    <row r="78" spans="1:23" ht="60" x14ac:dyDescent="0.25">
      <c r="A78" s="17">
        <f>SUBTOTAL(103,B$2:B78)*1</f>
        <v>77</v>
      </c>
      <c r="B78" s="17" t="s">
        <v>292</v>
      </c>
      <c r="C78" s="18" t="s">
        <v>1581</v>
      </c>
      <c r="D78" s="18" t="s">
        <v>1287</v>
      </c>
      <c r="E78" s="17"/>
      <c r="F78" s="17"/>
      <c r="G78" s="17" t="s">
        <v>65</v>
      </c>
      <c r="H78" s="17" t="s">
        <v>620</v>
      </c>
      <c r="I78" s="17"/>
      <c r="J78" s="17" t="s">
        <v>1582</v>
      </c>
      <c r="K78" s="17" t="s">
        <v>412</v>
      </c>
      <c r="L78" s="19"/>
      <c r="M78" s="17" t="s">
        <v>319</v>
      </c>
      <c r="N78" s="19"/>
      <c r="O78" s="17">
        <v>2</v>
      </c>
      <c r="P78" s="17"/>
      <c r="Q78" s="28"/>
      <c r="R78" s="17" t="s">
        <v>476</v>
      </c>
      <c r="S78" s="17"/>
      <c r="T78" s="35" t="s">
        <v>1622</v>
      </c>
      <c r="U78" s="28">
        <v>45943</v>
      </c>
      <c r="V78" s="17"/>
    </row>
    <row r="79" spans="1:23" ht="75" x14ac:dyDescent="0.25">
      <c r="A79" s="17">
        <f>SUBTOTAL(103,B$2:B79)*1</f>
        <v>78</v>
      </c>
      <c r="B79" s="17" t="s">
        <v>292</v>
      </c>
      <c r="C79" s="18" t="s">
        <v>401</v>
      </c>
      <c r="D79" s="18" t="s">
        <v>1287</v>
      </c>
      <c r="E79" s="17"/>
      <c r="F79" s="17"/>
      <c r="G79" s="17" t="s">
        <v>6</v>
      </c>
      <c r="H79" s="17" t="s">
        <v>618</v>
      </c>
      <c r="I79" s="17" t="s">
        <v>2425</v>
      </c>
      <c r="J79" s="17" t="s">
        <v>401</v>
      </c>
      <c r="K79" s="17" t="s">
        <v>748</v>
      </c>
      <c r="L79" s="19">
        <v>7500000</v>
      </c>
      <c r="M79" s="17" t="s">
        <v>319</v>
      </c>
      <c r="N79" s="19"/>
      <c r="O79" s="17">
        <v>2</v>
      </c>
      <c r="P79" s="17"/>
      <c r="Q79" s="28"/>
      <c r="R79" s="17" t="s">
        <v>475</v>
      </c>
      <c r="S79" s="17"/>
      <c r="T79" s="35" t="s">
        <v>1700</v>
      </c>
      <c r="U79" s="28">
        <v>45957</v>
      </c>
      <c r="V79" s="28"/>
    </row>
    <row r="80" spans="1:23" ht="30" customHeight="1" x14ac:dyDescent="0.25">
      <c r="A80" s="17">
        <f>SUBTOTAL(103,B$2:B80)*1</f>
        <v>79</v>
      </c>
      <c r="B80" s="17" t="s">
        <v>440</v>
      </c>
      <c r="C80" s="18" t="s">
        <v>452</v>
      </c>
      <c r="D80" s="17" t="s">
        <v>325</v>
      </c>
      <c r="E80" s="17"/>
      <c r="F80" s="17"/>
      <c r="G80" s="17" t="s">
        <v>464</v>
      </c>
      <c r="H80" s="17" t="s">
        <v>618</v>
      </c>
      <c r="I80" s="17" t="s">
        <v>453</v>
      </c>
      <c r="J80" s="17" t="s">
        <v>471</v>
      </c>
      <c r="K80" s="17" t="s">
        <v>404</v>
      </c>
      <c r="L80" s="17"/>
      <c r="M80" s="17" t="s">
        <v>319</v>
      </c>
      <c r="N80" s="17"/>
      <c r="O80" s="19"/>
      <c r="P80" s="19"/>
      <c r="Q80" s="28"/>
      <c r="R80" s="17" t="s">
        <v>443</v>
      </c>
      <c r="S80" s="17"/>
      <c r="T80" s="20"/>
      <c r="U80" s="28">
        <v>45799</v>
      </c>
      <c r="V80" s="28" t="s">
        <v>956</v>
      </c>
      <c r="W80" s="52"/>
    </row>
    <row r="81" spans="1:23" ht="30" customHeight="1" x14ac:dyDescent="0.25">
      <c r="A81" s="17">
        <f>SUBTOTAL(103,B$2:B81)*1</f>
        <v>80</v>
      </c>
      <c r="B81" s="17" t="s">
        <v>292</v>
      </c>
      <c r="C81" s="18" t="s">
        <v>1751</v>
      </c>
      <c r="D81" s="18" t="s">
        <v>325</v>
      </c>
      <c r="E81" s="17"/>
      <c r="F81" s="17"/>
      <c r="G81" s="17" t="s">
        <v>561</v>
      </c>
      <c r="H81" s="17" t="s">
        <v>620</v>
      </c>
      <c r="I81" s="17"/>
      <c r="J81" s="17" t="s">
        <v>562</v>
      </c>
      <c r="K81" s="17" t="s">
        <v>563</v>
      </c>
      <c r="L81" s="19"/>
      <c r="M81" s="17" t="s">
        <v>319</v>
      </c>
      <c r="N81" s="19"/>
      <c r="O81" s="17">
        <v>2</v>
      </c>
      <c r="P81" s="17"/>
      <c r="Q81" s="28"/>
      <c r="R81" s="17" t="s">
        <v>474</v>
      </c>
      <c r="S81" s="17"/>
      <c r="T81" s="35" t="s">
        <v>1766</v>
      </c>
      <c r="U81" s="28">
        <v>45971</v>
      </c>
      <c r="V81" s="17"/>
    </row>
    <row r="82" spans="1:23" ht="30" customHeight="1" x14ac:dyDescent="0.25">
      <c r="A82" s="17">
        <f>SUBTOTAL(103,B$2:B82)*1</f>
        <v>81</v>
      </c>
      <c r="B82" s="17" t="s">
        <v>292</v>
      </c>
      <c r="C82" s="18" t="s">
        <v>40</v>
      </c>
      <c r="D82" s="17" t="s">
        <v>13</v>
      </c>
      <c r="E82" s="17" t="s">
        <v>21</v>
      </c>
      <c r="F82" s="17"/>
      <c r="G82" s="17" t="s">
        <v>41</v>
      </c>
      <c r="H82" s="17" t="s">
        <v>620</v>
      </c>
      <c r="I82" s="17"/>
      <c r="J82" s="17" t="s">
        <v>409</v>
      </c>
      <c r="K82" s="17" t="s">
        <v>404</v>
      </c>
      <c r="L82" s="19"/>
      <c r="M82" s="17" t="s">
        <v>319</v>
      </c>
      <c r="N82" s="19"/>
      <c r="O82" s="17"/>
      <c r="P82" s="17"/>
      <c r="Q82" s="28"/>
      <c r="R82" s="17" t="s">
        <v>482</v>
      </c>
      <c r="S82" s="17"/>
      <c r="T82" s="20"/>
      <c r="U82" s="28"/>
      <c r="V82" s="17"/>
    </row>
    <row r="83" spans="1:23" ht="30" customHeight="1" x14ac:dyDescent="0.25">
      <c r="A83" s="17">
        <f>SUBTOTAL(103,B$2:B83)*1</f>
        <v>82</v>
      </c>
      <c r="B83" s="62" t="s">
        <v>2535</v>
      </c>
      <c r="C83" s="18" t="s">
        <v>113</v>
      </c>
      <c r="D83" s="17" t="s">
        <v>90</v>
      </c>
      <c r="E83" s="17" t="s">
        <v>97</v>
      </c>
      <c r="F83" s="17" t="s">
        <v>111</v>
      </c>
      <c r="G83" s="17" t="s">
        <v>36</v>
      </c>
      <c r="H83" s="17" t="s">
        <v>620</v>
      </c>
      <c r="I83" s="17"/>
      <c r="J83" s="17" t="s">
        <v>750</v>
      </c>
      <c r="K83" s="17" t="s">
        <v>404</v>
      </c>
      <c r="L83" s="19"/>
      <c r="M83" s="17" t="s">
        <v>300</v>
      </c>
      <c r="N83" s="19"/>
      <c r="O83" s="17">
        <v>5</v>
      </c>
      <c r="P83" s="17"/>
      <c r="Q83" s="28"/>
      <c r="R83" s="17" t="s">
        <v>2900</v>
      </c>
      <c r="S83" s="17"/>
      <c r="T83" s="20" t="s">
        <v>2899</v>
      </c>
      <c r="U83" s="77">
        <v>46104</v>
      </c>
      <c r="V83" s="17" t="s">
        <v>864</v>
      </c>
      <c r="W83" s="52"/>
    </row>
    <row r="84" spans="1:23" ht="30" customHeight="1" x14ac:dyDescent="0.25">
      <c r="A84" s="17">
        <f>SUBTOTAL(103,B$2:B84)*1</f>
        <v>83</v>
      </c>
      <c r="B84" s="17" t="s">
        <v>292</v>
      </c>
      <c r="C84" s="18" t="s">
        <v>87</v>
      </c>
      <c r="D84" s="17" t="s">
        <v>30</v>
      </c>
      <c r="E84" s="17" t="s">
        <v>9</v>
      </c>
      <c r="F84" s="17"/>
      <c r="G84" s="17" t="s">
        <v>84</v>
      </c>
      <c r="H84" s="17" t="s">
        <v>618</v>
      </c>
      <c r="I84" s="17" t="s">
        <v>652</v>
      </c>
      <c r="J84" s="17" t="s">
        <v>416</v>
      </c>
      <c r="K84" s="17" t="s">
        <v>404</v>
      </c>
      <c r="L84" s="19">
        <v>30000000</v>
      </c>
      <c r="M84" s="17" t="s">
        <v>319</v>
      </c>
      <c r="N84" s="19"/>
      <c r="O84" s="17" t="s">
        <v>54</v>
      </c>
      <c r="P84" s="17"/>
      <c r="Q84" s="28"/>
      <c r="R84" s="17" t="s">
        <v>468</v>
      </c>
      <c r="S84" s="17"/>
      <c r="T84" s="20"/>
      <c r="U84" s="28"/>
      <c r="V84" s="17"/>
    </row>
    <row r="85" spans="1:23" ht="30" customHeight="1" x14ac:dyDescent="0.25">
      <c r="A85" s="17">
        <f>SUBTOTAL(103,B$2:B85)*1</f>
        <v>84</v>
      </c>
      <c r="B85" s="17" t="s">
        <v>292</v>
      </c>
      <c r="C85" s="18" t="s">
        <v>98</v>
      </c>
      <c r="D85" s="17" t="s">
        <v>13</v>
      </c>
      <c r="E85" s="17" t="s">
        <v>21</v>
      </c>
      <c r="F85" s="17"/>
      <c r="G85" s="17" t="s">
        <v>99</v>
      </c>
      <c r="H85" s="17" t="s">
        <v>622</v>
      </c>
      <c r="I85" s="17" t="s">
        <v>660</v>
      </c>
      <c r="J85" s="17" t="s">
        <v>419</v>
      </c>
      <c r="K85" s="17" t="s">
        <v>404</v>
      </c>
      <c r="L85" s="19">
        <v>700000</v>
      </c>
      <c r="M85" s="17" t="s">
        <v>319</v>
      </c>
      <c r="N85" s="19"/>
      <c r="O85" s="17">
        <v>3</v>
      </c>
      <c r="P85" s="17"/>
      <c r="Q85" s="28"/>
      <c r="R85" s="17" t="s">
        <v>482</v>
      </c>
      <c r="S85" s="17"/>
      <c r="T85" s="20"/>
      <c r="U85" s="28"/>
      <c r="V85" s="17"/>
    </row>
    <row r="86" spans="1:23" ht="30" customHeight="1" x14ac:dyDescent="0.25">
      <c r="A86" s="17">
        <f>SUBTOTAL(103,B$2:B86)*1</f>
        <v>85</v>
      </c>
      <c r="B86" s="17" t="s">
        <v>292</v>
      </c>
      <c r="C86" s="18" t="s">
        <v>109</v>
      </c>
      <c r="D86" s="17" t="s">
        <v>13</v>
      </c>
      <c r="E86" s="17" t="s">
        <v>21</v>
      </c>
      <c r="F86" s="17"/>
      <c r="G86" s="17" t="s">
        <v>84</v>
      </c>
      <c r="H86" s="17" t="s">
        <v>618</v>
      </c>
      <c r="I86" s="17"/>
      <c r="J86" s="17" t="s">
        <v>423</v>
      </c>
      <c r="K86" s="17" t="s">
        <v>404</v>
      </c>
      <c r="L86" s="19"/>
      <c r="M86" s="17" t="s">
        <v>319</v>
      </c>
      <c r="N86" s="19"/>
      <c r="O86" s="17">
        <v>1</v>
      </c>
      <c r="P86" s="17"/>
      <c r="Q86" s="28"/>
      <c r="R86" s="17" t="s">
        <v>482</v>
      </c>
      <c r="S86" s="17"/>
      <c r="T86" s="20"/>
      <c r="U86" s="28"/>
      <c r="V86" s="17"/>
    </row>
    <row r="87" spans="1:23" ht="30" customHeight="1" x14ac:dyDescent="0.25">
      <c r="A87" s="17">
        <f>SUBTOTAL(103,B$2:B87)*1</f>
        <v>86</v>
      </c>
      <c r="B87" s="17" t="s">
        <v>292</v>
      </c>
      <c r="C87" s="18" t="s">
        <v>2049</v>
      </c>
      <c r="D87" s="18" t="s">
        <v>298</v>
      </c>
      <c r="E87" s="17"/>
      <c r="F87" s="17"/>
      <c r="G87" s="17" t="s">
        <v>621</v>
      </c>
      <c r="H87" s="17" t="s">
        <v>618</v>
      </c>
      <c r="I87" s="17"/>
      <c r="J87" s="17" t="s">
        <v>134</v>
      </c>
      <c r="K87" s="17" t="s">
        <v>404</v>
      </c>
      <c r="L87" s="19"/>
      <c r="M87" s="21" t="s">
        <v>2510</v>
      </c>
      <c r="N87" s="19"/>
      <c r="O87" s="17">
        <v>4</v>
      </c>
      <c r="P87" s="17"/>
      <c r="Q87" s="28"/>
      <c r="R87" s="17" t="s">
        <v>475</v>
      </c>
      <c r="S87" s="17"/>
      <c r="T87" s="35" t="s">
        <v>2574</v>
      </c>
      <c r="U87" s="28">
        <v>46034</v>
      </c>
      <c r="V87" s="17"/>
    </row>
    <row r="88" spans="1:23" ht="30" customHeight="1" x14ac:dyDescent="0.25">
      <c r="A88" s="17">
        <f>SUBTOTAL(103,B$2:B88)*1</f>
        <v>87</v>
      </c>
      <c r="B88" s="17" t="s">
        <v>292</v>
      </c>
      <c r="C88" s="18" t="s">
        <v>162</v>
      </c>
      <c r="D88" s="17" t="s">
        <v>31</v>
      </c>
      <c r="E88" s="17" t="s">
        <v>288</v>
      </c>
      <c r="F88" s="17"/>
      <c r="G88" s="17" t="s">
        <v>36</v>
      </c>
      <c r="H88" s="17" t="s">
        <v>624</v>
      </c>
      <c r="I88" s="17"/>
      <c r="J88" s="17" t="s">
        <v>161</v>
      </c>
      <c r="K88" s="17" t="s">
        <v>404</v>
      </c>
      <c r="L88" s="19"/>
      <c r="M88" s="17" t="s">
        <v>319</v>
      </c>
      <c r="N88" s="19"/>
      <c r="O88" s="17"/>
      <c r="P88" s="17"/>
      <c r="Q88" s="28"/>
      <c r="R88" s="17" t="s">
        <v>529</v>
      </c>
      <c r="S88" s="17"/>
      <c r="T88" s="20"/>
      <c r="U88" s="28"/>
      <c r="V88" s="17"/>
    </row>
    <row r="89" spans="1:23" ht="30" customHeight="1" x14ac:dyDescent="0.25">
      <c r="A89" s="17">
        <f>SUBTOTAL(103,B$2:B89)*1</f>
        <v>88</v>
      </c>
      <c r="B89" s="17" t="s">
        <v>292</v>
      </c>
      <c r="C89" s="18" t="s">
        <v>164</v>
      </c>
      <c r="D89" s="17" t="s">
        <v>31</v>
      </c>
      <c r="E89" s="17"/>
      <c r="F89" s="17"/>
      <c r="G89" s="17" t="s">
        <v>465</v>
      </c>
      <c r="H89" s="17" t="s">
        <v>618</v>
      </c>
      <c r="I89" s="17"/>
      <c r="J89" s="17" t="s">
        <v>434</v>
      </c>
      <c r="K89" s="17" t="s">
        <v>427</v>
      </c>
      <c r="L89" s="19"/>
      <c r="M89" s="17" t="s">
        <v>319</v>
      </c>
      <c r="N89" s="19"/>
      <c r="O89" s="17"/>
      <c r="P89" s="17"/>
      <c r="Q89" s="28"/>
      <c r="R89" s="17" t="s">
        <v>532</v>
      </c>
      <c r="S89" s="17"/>
      <c r="T89" s="20"/>
      <c r="U89" s="28">
        <v>45799</v>
      </c>
      <c r="V89" s="28"/>
    </row>
    <row r="90" spans="1:23" ht="30" customHeight="1" x14ac:dyDescent="0.25">
      <c r="A90" s="17">
        <f>SUBTOTAL(103,B$2:B90)*1</f>
        <v>89</v>
      </c>
      <c r="B90" s="17" t="s">
        <v>292</v>
      </c>
      <c r="C90" s="18" t="s">
        <v>1235</v>
      </c>
      <c r="D90" s="17" t="s">
        <v>90</v>
      </c>
      <c r="E90" s="17" t="s">
        <v>97</v>
      </c>
      <c r="F90" s="17" t="s">
        <v>111</v>
      </c>
      <c r="G90" s="17" t="s">
        <v>172</v>
      </c>
      <c r="H90" s="17" t="s">
        <v>626</v>
      </c>
      <c r="I90" s="17"/>
      <c r="J90" s="17" t="s">
        <v>171</v>
      </c>
      <c r="K90" s="17" t="s">
        <v>435</v>
      </c>
      <c r="L90" s="19"/>
      <c r="M90" s="17" t="s">
        <v>319</v>
      </c>
      <c r="N90" s="19"/>
      <c r="O90" s="17"/>
      <c r="P90" s="17"/>
      <c r="Q90" s="28"/>
      <c r="R90" s="17" t="s">
        <v>474</v>
      </c>
      <c r="S90" s="17"/>
      <c r="T90" s="20" t="s">
        <v>1234</v>
      </c>
      <c r="U90" s="28">
        <v>45874</v>
      </c>
      <c r="V90" s="17" t="s">
        <v>856</v>
      </c>
      <c r="W90" s="52"/>
    </row>
    <row r="91" spans="1:23" ht="30" customHeight="1" x14ac:dyDescent="0.25">
      <c r="A91" s="17">
        <f>SUBTOTAL(103,B$2:B91)*1</f>
        <v>90</v>
      </c>
      <c r="B91" s="17" t="s">
        <v>292</v>
      </c>
      <c r="C91" s="18" t="s">
        <v>926</v>
      </c>
      <c r="D91" s="18" t="s">
        <v>304</v>
      </c>
      <c r="E91" s="17" t="s">
        <v>21</v>
      </c>
      <c r="F91" s="17"/>
      <c r="G91" s="17" t="s">
        <v>328</v>
      </c>
      <c r="H91" s="17" t="s">
        <v>927</v>
      </c>
      <c r="I91" s="17"/>
      <c r="J91" s="17" t="s">
        <v>197</v>
      </c>
      <c r="K91" s="17" t="s">
        <v>748</v>
      </c>
      <c r="L91" s="19"/>
      <c r="M91" s="17" t="s">
        <v>319</v>
      </c>
      <c r="N91" s="19"/>
      <c r="O91" s="17">
        <v>1</v>
      </c>
      <c r="P91" s="17"/>
      <c r="Q91" s="28"/>
      <c r="R91" s="17" t="s">
        <v>474</v>
      </c>
      <c r="S91" s="17"/>
      <c r="T91" s="35" t="s">
        <v>986</v>
      </c>
      <c r="U91" s="28">
        <v>45831</v>
      </c>
      <c r="V91" s="28"/>
    </row>
    <row r="92" spans="1:23" ht="30" customHeight="1" x14ac:dyDescent="0.25">
      <c r="A92" s="17">
        <f>SUBTOTAL(103,B$2:B92)*1</f>
        <v>91</v>
      </c>
      <c r="B92" s="17" t="s">
        <v>292</v>
      </c>
      <c r="C92" s="18" t="s">
        <v>734</v>
      </c>
      <c r="D92" s="17" t="s">
        <v>13</v>
      </c>
      <c r="E92" s="17" t="s">
        <v>21</v>
      </c>
      <c r="F92" s="17" t="s">
        <v>275</v>
      </c>
      <c r="G92" s="17" t="s">
        <v>106</v>
      </c>
      <c r="H92" s="17" t="s">
        <v>618</v>
      </c>
      <c r="I92" s="17"/>
      <c r="J92" s="17" t="s">
        <v>150</v>
      </c>
      <c r="K92" s="17" t="s">
        <v>435</v>
      </c>
      <c r="L92" s="19"/>
      <c r="M92" s="17" t="s">
        <v>319</v>
      </c>
      <c r="N92" s="19"/>
      <c r="O92" s="17"/>
      <c r="P92" s="17"/>
      <c r="Q92" s="28"/>
      <c r="R92" s="17" t="s">
        <v>482</v>
      </c>
      <c r="S92" s="17"/>
      <c r="T92" s="20"/>
      <c r="U92" s="28"/>
      <c r="V92" s="17"/>
    </row>
    <row r="93" spans="1:23" ht="30" customHeight="1" x14ac:dyDescent="0.25">
      <c r="A93" s="17">
        <f>SUBTOTAL(103,B$2:B93)*1</f>
        <v>92</v>
      </c>
      <c r="B93" s="17" t="s">
        <v>485</v>
      </c>
      <c r="C93" s="18" t="s">
        <v>486</v>
      </c>
      <c r="D93" s="17" t="s">
        <v>507</v>
      </c>
      <c r="E93" s="17"/>
      <c r="F93" s="17"/>
      <c r="G93" s="17" t="s">
        <v>521</v>
      </c>
      <c r="H93" s="17" t="s">
        <v>623</v>
      </c>
      <c r="I93" s="17" t="s">
        <v>388</v>
      </c>
      <c r="J93" s="17" t="s">
        <v>487</v>
      </c>
      <c r="K93" s="17" t="s">
        <v>499</v>
      </c>
      <c r="L93" s="19"/>
      <c r="M93" s="17" t="s">
        <v>319</v>
      </c>
      <c r="N93" s="19"/>
      <c r="O93" s="17">
        <v>1</v>
      </c>
      <c r="P93" s="17"/>
      <c r="Q93" s="28"/>
      <c r="R93" s="17" t="s">
        <v>474</v>
      </c>
      <c r="S93" s="17"/>
      <c r="T93" s="20"/>
      <c r="U93" s="28">
        <v>45799</v>
      </c>
      <c r="V93" s="28" t="s">
        <v>861</v>
      </c>
      <c r="W93" s="52"/>
    </row>
    <row r="94" spans="1:23" ht="30" customHeight="1" x14ac:dyDescent="0.25">
      <c r="A94" s="17">
        <f>SUBTOTAL(103,B$2:B94)*1</f>
        <v>93</v>
      </c>
      <c r="B94" s="17" t="s">
        <v>485</v>
      </c>
      <c r="C94" s="18" t="s">
        <v>492</v>
      </c>
      <c r="D94" s="17" t="s">
        <v>508</v>
      </c>
      <c r="E94" s="17" t="s">
        <v>509</v>
      </c>
      <c r="F94" s="17"/>
      <c r="G94" s="17" t="s">
        <v>141</v>
      </c>
      <c r="H94" s="17" t="s">
        <v>623</v>
      </c>
      <c r="I94" s="17" t="s">
        <v>631</v>
      </c>
      <c r="J94" s="17" t="s">
        <v>491</v>
      </c>
      <c r="K94" s="17" t="s">
        <v>499</v>
      </c>
      <c r="L94" s="19"/>
      <c r="M94" s="17" t="s">
        <v>319</v>
      </c>
      <c r="N94" s="19"/>
      <c r="O94" s="17">
        <v>1</v>
      </c>
      <c r="P94" s="17"/>
      <c r="Q94" s="28"/>
      <c r="R94" s="17" t="s">
        <v>474</v>
      </c>
      <c r="S94" s="17"/>
      <c r="T94" s="20"/>
      <c r="U94" s="28">
        <v>45799</v>
      </c>
      <c r="V94" s="28"/>
    </row>
    <row r="95" spans="1:23" ht="30" customHeight="1" x14ac:dyDescent="0.25">
      <c r="A95" s="17">
        <f>SUBTOTAL(103,B$2:B95)*1</f>
        <v>94</v>
      </c>
      <c r="B95" s="17" t="s">
        <v>292</v>
      </c>
      <c r="C95" s="18" t="s">
        <v>512</v>
      </c>
      <c r="D95" s="17"/>
      <c r="E95" s="17"/>
      <c r="F95" s="17"/>
      <c r="G95" s="17" t="s">
        <v>513</v>
      </c>
      <c r="H95" s="17" t="s">
        <v>624</v>
      </c>
      <c r="I95" s="17"/>
      <c r="J95" s="17" t="s">
        <v>514</v>
      </c>
      <c r="K95" s="17" t="s">
        <v>405</v>
      </c>
      <c r="L95" s="19"/>
      <c r="M95" s="17" t="s">
        <v>319</v>
      </c>
      <c r="N95" s="19"/>
      <c r="O95" s="17">
        <v>1</v>
      </c>
      <c r="P95" s="17"/>
      <c r="Q95" s="28"/>
      <c r="R95" s="17" t="s">
        <v>523</v>
      </c>
      <c r="S95" s="17"/>
      <c r="T95" s="35"/>
      <c r="U95" s="28">
        <v>45799</v>
      </c>
      <c r="V95" s="28"/>
    </row>
    <row r="96" spans="1:23" ht="30" customHeight="1" x14ac:dyDescent="0.25">
      <c r="A96" s="17">
        <f>SUBTOTAL(103,B$2:B96)*1</f>
        <v>95</v>
      </c>
      <c r="B96" s="17" t="s">
        <v>292</v>
      </c>
      <c r="C96" s="18" t="s">
        <v>516</v>
      </c>
      <c r="D96" s="17" t="s">
        <v>13</v>
      </c>
      <c r="E96" s="17"/>
      <c r="F96" s="17"/>
      <c r="G96" s="17" t="s">
        <v>515</v>
      </c>
      <c r="H96" s="17" t="s">
        <v>618</v>
      </c>
      <c r="I96" s="17"/>
      <c r="J96" s="17" t="s">
        <v>517</v>
      </c>
      <c r="K96" s="17" t="s">
        <v>404</v>
      </c>
      <c r="L96" s="19"/>
      <c r="M96" s="17" t="s">
        <v>319</v>
      </c>
      <c r="N96" s="19"/>
      <c r="O96" s="17">
        <v>1</v>
      </c>
      <c r="P96" s="17"/>
      <c r="Q96" s="28"/>
      <c r="R96" s="17" t="s">
        <v>474</v>
      </c>
      <c r="S96" s="17"/>
      <c r="T96" s="35"/>
      <c r="U96" s="28">
        <v>45799</v>
      </c>
      <c r="V96" s="28"/>
    </row>
    <row r="97" spans="1:23" ht="30" customHeight="1" x14ac:dyDescent="0.25">
      <c r="A97" s="17">
        <f>SUBTOTAL(103,B$2:B97)*1</f>
        <v>96</v>
      </c>
      <c r="B97" s="17" t="s">
        <v>292</v>
      </c>
      <c r="C97" s="18" t="s">
        <v>755</v>
      </c>
      <c r="D97" s="17" t="s">
        <v>13</v>
      </c>
      <c r="E97" s="17" t="s">
        <v>46</v>
      </c>
      <c r="F97" s="17"/>
      <c r="G97" s="17" t="s">
        <v>580</v>
      </c>
      <c r="H97" s="17" t="s">
        <v>618</v>
      </c>
      <c r="I97" s="17"/>
      <c r="J97" s="17" t="s">
        <v>754</v>
      </c>
      <c r="K97" s="17" t="s">
        <v>748</v>
      </c>
      <c r="L97" s="19"/>
      <c r="M97" s="17" t="s">
        <v>319</v>
      </c>
      <c r="N97" s="19"/>
      <c r="O97" s="17">
        <v>1</v>
      </c>
      <c r="P97" s="17"/>
      <c r="Q97" s="28"/>
      <c r="R97" s="17" t="s">
        <v>474</v>
      </c>
      <c r="S97" s="17"/>
      <c r="T97" s="35"/>
      <c r="U97" s="28">
        <v>45811</v>
      </c>
      <c r="V97" s="28"/>
    </row>
    <row r="98" spans="1:23" ht="30" customHeight="1" x14ac:dyDescent="0.25">
      <c r="A98" s="17">
        <f>SUBTOTAL(103,B$2:B98)*1</f>
        <v>97</v>
      </c>
      <c r="B98" s="17" t="s">
        <v>292</v>
      </c>
      <c r="C98" s="18" t="s">
        <v>763</v>
      </c>
      <c r="D98" s="17" t="s">
        <v>13</v>
      </c>
      <c r="E98" s="17" t="s">
        <v>46</v>
      </c>
      <c r="F98" s="17"/>
      <c r="G98" s="17" t="s">
        <v>84</v>
      </c>
      <c r="H98" s="17" t="s">
        <v>618</v>
      </c>
      <c r="I98" s="17"/>
      <c r="J98" s="17" t="s">
        <v>762</v>
      </c>
      <c r="K98" s="17" t="s">
        <v>748</v>
      </c>
      <c r="L98" s="19"/>
      <c r="M98" s="17" t="s">
        <v>319</v>
      </c>
      <c r="N98" s="19"/>
      <c r="O98" s="17">
        <v>1</v>
      </c>
      <c r="P98" s="17"/>
      <c r="Q98" s="28"/>
      <c r="R98" s="17" t="s">
        <v>474</v>
      </c>
      <c r="S98" s="17"/>
      <c r="T98" s="35"/>
      <c r="U98" s="28">
        <v>45811</v>
      </c>
      <c r="V98" s="28"/>
    </row>
    <row r="99" spans="1:23" ht="30" customHeight="1" x14ac:dyDescent="0.25">
      <c r="A99" s="17">
        <f>SUBTOTAL(103,B$2:B99)*1</f>
        <v>98</v>
      </c>
      <c r="B99" s="17" t="s">
        <v>292</v>
      </c>
      <c r="C99" s="18" t="s">
        <v>783</v>
      </c>
      <c r="D99" s="17" t="s">
        <v>90</v>
      </c>
      <c r="E99" s="17" t="s">
        <v>97</v>
      </c>
      <c r="F99" s="17" t="s">
        <v>148</v>
      </c>
      <c r="G99" s="17" t="s">
        <v>16</v>
      </c>
      <c r="H99" s="17" t="s">
        <v>618</v>
      </c>
      <c r="I99" s="17"/>
      <c r="J99" s="17" t="s">
        <v>782</v>
      </c>
      <c r="K99" s="17" t="s">
        <v>748</v>
      </c>
      <c r="L99" s="19"/>
      <c r="M99" s="17" t="s">
        <v>319</v>
      </c>
      <c r="N99" s="19"/>
      <c r="O99" s="17">
        <v>1</v>
      </c>
      <c r="P99" s="17"/>
      <c r="Q99" s="28"/>
      <c r="R99" s="17" t="s">
        <v>532</v>
      </c>
      <c r="S99" s="17"/>
      <c r="T99" s="35"/>
      <c r="U99" s="28">
        <v>45811</v>
      </c>
      <c r="V99" s="28" t="s">
        <v>1004</v>
      </c>
      <c r="W99" s="52"/>
    </row>
    <row r="100" spans="1:23" ht="30" customHeight="1" x14ac:dyDescent="0.25">
      <c r="A100" s="17">
        <f>SUBTOTAL(103,B$2:B100)*1</f>
        <v>99</v>
      </c>
      <c r="B100" s="17" t="s">
        <v>292</v>
      </c>
      <c r="C100" s="18" t="s">
        <v>1209</v>
      </c>
      <c r="D100" s="18" t="s">
        <v>46</v>
      </c>
      <c r="E100" s="17"/>
      <c r="F100" s="17"/>
      <c r="G100" s="17" t="s">
        <v>36</v>
      </c>
      <c r="H100" s="17" t="s">
        <v>620</v>
      </c>
      <c r="I100" s="17" t="s">
        <v>629</v>
      </c>
      <c r="J100" s="17" t="s">
        <v>799</v>
      </c>
      <c r="K100" s="17" t="s">
        <v>404</v>
      </c>
      <c r="L100" s="19"/>
      <c r="M100" s="17" t="s">
        <v>319</v>
      </c>
      <c r="N100" s="19"/>
      <c r="O100" s="17">
        <v>1</v>
      </c>
      <c r="P100" s="17"/>
      <c r="Q100" s="28"/>
      <c r="R100" s="17" t="s">
        <v>474</v>
      </c>
      <c r="S100" s="17"/>
      <c r="T100" s="35" t="s">
        <v>839</v>
      </c>
      <c r="U100" s="28">
        <v>45824</v>
      </c>
      <c r="V100" s="28" t="s">
        <v>947</v>
      </c>
      <c r="W100" s="52"/>
    </row>
    <row r="101" spans="1:23" ht="30" customHeight="1" x14ac:dyDescent="0.25">
      <c r="A101" s="17">
        <f>SUBTOTAL(103,B$2:B101)*1</f>
        <v>100</v>
      </c>
      <c r="B101" s="17" t="s">
        <v>292</v>
      </c>
      <c r="C101" s="18" t="s">
        <v>847</v>
      </c>
      <c r="D101" s="18" t="s">
        <v>31</v>
      </c>
      <c r="E101" s="17"/>
      <c r="F101" s="17"/>
      <c r="G101" s="17" t="s">
        <v>1704</v>
      </c>
      <c r="H101" s="17"/>
      <c r="I101" s="17"/>
      <c r="J101" s="17" t="s">
        <v>837</v>
      </c>
      <c r="K101" s="17" t="s">
        <v>405</v>
      </c>
      <c r="L101" s="19"/>
      <c r="M101" s="17" t="s">
        <v>319</v>
      </c>
      <c r="N101" s="19"/>
      <c r="O101" s="17">
        <v>1</v>
      </c>
      <c r="P101" s="17" t="s">
        <v>846</v>
      </c>
      <c r="Q101" s="28"/>
      <c r="R101" s="17" t="s">
        <v>532</v>
      </c>
      <c r="S101" s="17"/>
      <c r="T101" s="35" t="s">
        <v>921</v>
      </c>
      <c r="U101" s="28">
        <v>45824</v>
      </c>
      <c r="V101" s="28"/>
    </row>
    <row r="102" spans="1:23" ht="30" customHeight="1" x14ac:dyDescent="0.25">
      <c r="A102" s="17">
        <f>SUBTOTAL(103,B$2:B102)*1</f>
        <v>101</v>
      </c>
      <c r="B102" s="17" t="s">
        <v>292</v>
      </c>
      <c r="C102" s="18" t="s">
        <v>874</v>
      </c>
      <c r="D102" s="17" t="s">
        <v>90</v>
      </c>
      <c r="E102" s="17"/>
      <c r="F102" s="17"/>
      <c r="G102" s="17" t="s">
        <v>885</v>
      </c>
      <c r="H102" s="17" t="s">
        <v>884</v>
      </c>
      <c r="I102" s="17"/>
      <c r="J102" s="17" t="s">
        <v>874</v>
      </c>
      <c r="K102" s="17" t="s">
        <v>881</v>
      </c>
      <c r="L102" s="19"/>
      <c r="M102" s="17" t="s">
        <v>319</v>
      </c>
      <c r="N102" s="19"/>
      <c r="O102" s="17"/>
      <c r="P102" s="17"/>
      <c r="Q102" s="28"/>
      <c r="R102" s="17" t="s">
        <v>474</v>
      </c>
      <c r="S102" s="17"/>
      <c r="T102" s="20" t="s">
        <v>882</v>
      </c>
      <c r="U102" s="28">
        <v>45828</v>
      </c>
      <c r="V102" s="17" t="s">
        <v>875</v>
      </c>
      <c r="W102" s="52"/>
    </row>
    <row r="103" spans="1:23" ht="30" customHeight="1" x14ac:dyDescent="0.25">
      <c r="A103" s="17">
        <f>SUBTOTAL(103,B$2:B103)*1</f>
        <v>102</v>
      </c>
      <c r="B103" s="17" t="s">
        <v>292</v>
      </c>
      <c r="C103" s="18" t="s">
        <v>936</v>
      </c>
      <c r="D103" s="18" t="s">
        <v>304</v>
      </c>
      <c r="E103" s="17" t="s">
        <v>21</v>
      </c>
      <c r="F103" s="17"/>
      <c r="G103" s="17" t="s">
        <v>79</v>
      </c>
      <c r="H103" s="17" t="s">
        <v>620</v>
      </c>
      <c r="I103" s="17"/>
      <c r="J103" s="17" t="s">
        <v>935</v>
      </c>
      <c r="K103" s="17" t="s">
        <v>748</v>
      </c>
      <c r="L103" s="19"/>
      <c r="M103" s="17" t="s">
        <v>319</v>
      </c>
      <c r="N103" s="19"/>
      <c r="O103" s="17">
        <v>1</v>
      </c>
      <c r="P103" s="17"/>
      <c r="Q103" s="28"/>
      <c r="R103" s="17" t="s">
        <v>474</v>
      </c>
      <c r="S103" s="17"/>
      <c r="T103" s="35" t="s">
        <v>989</v>
      </c>
      <c r="U103" s="28">
        <v>45831</v>
      </c>
      <c r="V103" s="28"/>
    </row>
    <row r="104" spans="1:23" ht="30" customHeight="1" x14ac:dyDescent="0.25">
      <c r="A104" s="17">
        <f>SUBTOTAL(103,B$2:B104)*1</f>
        <v>103</v>
      </c>
      <c r="B104" s="17" t="s">
        <v>292</v>
      </c>
      <c r="C104" s="18" t="s">
        <v>942</v>
      </c>
      <c r="D104" s="18" t="s">
        <v>90</v>
      </c>
      <c r="E104" s="17"/>
      <c r="F104" s="17"/>
      <c r="G104" s="17" t="s">
        <v>22</v>
      </c>
      <c r="H104" s="17" t="s">
        <v>618</v>
      </c>
      <c r="I104" s="17"/>
      <c r="J104" s="17" t="s">
        <v>941</v>
      </c>
      <c r="K104" s="17" t="s">
        <v>748</v>
      </c>
      <c r="L104" s="19"/>
      <c r="M104" s="17" t="s">
        <v>319</v>
      </c>
      <c r="N104" s="19"/>
      <c r="O104" s="17">
        <v>1</v>
      </c>
      <c r="P104" s="17"/>
      <c r="Q104" s="28"/>
      <c r="R104" s="17" t="s">
        <v>474</v>
      </c>
      <c r="S104" s="17"/>
      <c r="T104" s="35" t="s">
        <v>990</v>
      </c>
      <c r="U104" s="28">
        <v>45831</v>
      </c>
      <c r="V104" s="28" t="s">
        <v>962</v>
      </c>
      <c r="W104" s="52"/>
    </row>
    <row r="105" spans="1:23" ht="30" customHeight="1" x14ac:dyDescent="0.25">
      <c r="A105" s="17">
        <f>SUBTOTAL(103,B$2:B105)*1</f>
        <v>104</v>
      </c>
      <c r="B105" s="17" t="s">
        <v>292</v>
      </c>
      <c r="C105" s="18" t="s">
        <v>1000</v>
      </c>
      <c r="D105" s="18" t="s">
        <v>31</v>
      </c>
      <c r="E105" s="17"/>
      <c r="F105" s="17"/>
      <c r="G105" s="17" t="s">
        <v>580</v>
      </c>
      <c r="H105" s="17" t="s">
        <v>618</v>
      </c>
      <c r="I105" s="17" t="s">
        <v>1061</v>
      </c>
      <c r="J105" s="17" t="s">
        <v>1000</v>
      </c>
      <c r="K105" s="17" t="s">
        <v>404</v>
      </c>
      <c r="L105" s="19"/>
      <c r="M105" s="17" t="s">
        <v>319</v>
      </c>
      <c r="N105" s="19"/>
      <c r="O105" s="17">
        <v>2</v>
      </c>
      <c r="P105" s="17"/>
      <c r="Q105" s="28"/>
      <c r="R105" s="17" t="s">
        <v>2601</v>
      </c>
      <c r="S105" s="17"/>
      <c r="T105" s="35" t="s">
        <v>1060</v>
      </c>
      <c r="U105" s="28">
        <v>45852</v>
      </c>
      <c r="V105" s="28"/>
    </row>
    <row r="106" spans="1:23" ht="30" customHeight="1" x14ac:dyDescent="0.25">
      <c r="A106" s="17">
        <f>SUBTOTAL(103,B$2:B106)*1</f>
        <v>105</v>
      </c>
      <c r="B106" s="17" t="s">
        <v>292</v>
      </c>
      <c r="C106" s="18" t="s">
        <v>1014</v>
      </c>
      <c r="D106" s="18" t="s">
        <v>31</v>
      </c>
      <c r="E106" s="17"/>
      <c r="F106" s="17"/>
      <c r="G106" s="17" t="s">
        <v>65</v>
      </c>
      <c r="H106" s="17" t="s">
        <v>620</v>
      </c>
      <c r="I106" s="17"/>
      <c r="J106" s="17" t="s">
        <v>1014</v>
      </c>
      <c r="K106" s="17" t="s">
        <v>404</v>
      </c>
      <c r="L106" s="19"/>
      <c r="M106" s="17" t="s">
        <v>319</v>
      </c>
      <c r="N106" s="19"/>
      <c r="O106" s="17">
        <v>2</v>
      </c>
      <c r="P106" s="17"/>
      <c r="Q106" s="28"/>
      <c r="R106" s="17" t="s">
        <v>532</v>
      </c>
      <c r="S106" s="17"/>
      <c r="T106" s="35" t="s">
        <v>1045</v>
      </c>
      <c r="U106" s="28">
        <v>45845</v>
      </c>
      <c r="V106" s="28"/>
    </row>
    <row r="107" spans="1:23" ht="30" customHeight="1" x14ac:dyDescent="0.25">
      <c r="A107" s="17">
        <f>SUBTOTAL(103,B$2:B107)*1</f>
        <v>106</v>
      </c>
      <c r="B107" s="17" t="s">
        <v>292</v>
      </c>
      <c r="C107" s="18" t="s">
        <v>1160</v>
      </c>
      <c r="D107" s="18" t="s">
        <v>325</v>
      </c>
      <c r="E107" s="17"/>
      <c r="F107" s="17"/>
      <c r="G107" s="17" t="s">
        <v>344</v>
      </c>
      <c r="H107" s="17" t="s">
        <v>923</v>
      </c>
      <c r="I107" s="17"/>
      <c r="J107" s="17" t="s">
        <v>1177</v>
      </c>
      <c r="K107" s="17" t="s">
        <v>748</v>
      </c>
      <c r="L107" s="19"/>
      <c r="M107" s="17" t="s">
        <v>319</v>
      </c>
      <c r="N107" s="19"/>
      <c r="O107" s="17">
        <v>1</v>
      </c>
      <c r="P107" s="17"/>
      <c r="Q107" s="28"/>
      <c r="R107" s="17" t="s">
        <v>443</v>
      </c>
      <c r="S107" s="17"/>
      <c r="T107" s="35"/>
      <c r="U107" s="28">
        <v>45859</v>
      </c>
      <c r="V107" s="28" t="s">
        <v>1161</v>
      </c>
    </row>
    <row r="108" spans="1:23" ht="30" customHeight="1" x14ac:dyDescent="0.25">
      <c r="A108" s="17">
        <f>SUBTOTAL(103,B$2:B108)*1</f>
        <v>107</v>
      </c>
      <c r="B108" s="17" t="s">
        <v>292</v>
      </c>
      <c r="C108" s="18" t="s">
        <v>1388</v>
      </c>
      <c r="D108" s="18" t="s">
        <v>13</v>
      </c>
      <c r="E108" s="17" t="s">
        <v>1389</v>
      </c>
      <c r="F108" s="17"/>
      <c r="G108" s="17" t="s">
        <v>36</v>
      </c>
      <c r="H108" s="17" t="s">
        <v>620</v>
      </c>
      <c r="I108" s="17"/>
      <c r="J108" s="17" t="s">
        <v>1256</v>
      </c>
      <c r="K108" s="17" t="s">
        <v>404</v>
      </c>
      <c r="L108" s="19"/>
      <c r="M108" s="17" t="s">
        <v>319</v>
      </c>
      <c r="N108" s="19"/>
      <c r="O108" s="17">
        <v>2</v>
      </c>
      <c r="P108" s="17"/>
      <c r="Q108" s="28"/>
      <c r="R108" s="17" t="s">
        <v>474</v>
      </c>
      <c r="S108" s="17"/>
      <c r="T108" s="35" t="s">
        <v>2092</v>
      </c>
      <c r="U108" s="28">
        <v>46006</v>
      </c>
      <c r="V108" s="28"/>
    </row>
    <row r="109" spans="1:23" ht="60" x14ac:dyDescent="0.25">
      <c r="A109" s="17">
        <f>SUBTOTAL(103,B$2:B109)*1</f>
        <v>108</v>
      </c>
      <c r="B109" s="17" t="s">
        <v>292</v>
      </c>
      <c r="C109" s="18" t="s">
        <v>1352</v>
      </c>
      <c r="D109" s="18" t="s">
        <v>31</v>
      </c>
      <c r="E109" s="17"/>
      <c r="F109" s="17"/>
      <c r="G109" s="17" t="s">
        <v>1704</v>
      </c>
      <c r="H109" s="17"/>
      <c r="I109" s="17"/>
      <c r="J109" s="17" t="s">
        <v>1351</v>
      </c>
      <c r="K109" s="17" t="s">
        <v>405</v>
      </c>
      <c r="L109" s="19"/>
      <c r="M109" s="17" t="s">
        <v>319</v>
      </c>
      <c r="N109" s="19"/>
      <c r="O109" s="17">
        <v>1</v>
      </c>
      <c r="P109" s="17"/>
      <c r="Q109" s="28"/>
      <c r="R109" s="17" t="s">
        <v>532</v>
      </c>
      <c r="S109" s="17"/>
      <c r="T109" s="35" t="s">
        <v>1373</v>
      </c>
      <c r="U109" s="28">
        <v>45894</v>
      </c>
      <c r="V109" s="28"/>
    </row>
    <row r="110" spans="1:23" ht="30" customHeight="1" x14ac:dyDescent="0.25">
      <c r="A110" s="17">
        <f>SUBTOTAL(103,B$2:B110)*1</f>
        <v>109</v>
      </c>
      <c r="B110" s="17" t="s">
        <v>292</v>
      </c>
      <c r="C110" s="18" t="s">
        <v>1490</v>
      </c>
      <c r="D110" s="18" t="s">
        <v>325</v>
      </c>
      <c r="E110" s="17"/>
      <c r="F110" s="17"/>
      <c r="G110" s="17" t="s">
        <v>82</v>
      </c>
      <c r="H110" s="17" t="s">
        <v>619</v>
      </c>
      <c r="I110" s="17"/>
      <c r="J110" s="17" t="s">
        <v>1490</v>
      </c>
      <c r="K110" s="17" t="s">
        <v>404</v>
      </c>
      <c r="L110" s="19"/>
      <c r="M110" s="17" t="s">
        <v>319</v>
      </c>
      <c r="N110" s="19"/>
      <c r="O110" s="17">
        <v>1</v>
      </c>
      <c r="P110" s="17"/>
      <c r="Q110" s="28"/>
      <c r="R110" s="17" t="s">
        <v>474</v>
      </c>
      <c r="S110" s="17"/>
      <c r="T110" s="35" t="s">
        <v>1501</v>
      </c>
      <c r="U110" s="28">
        <v>45915</v>
      </c>
      <c r="V110" s="28"/>
    </row>
    <row r="111" spans="1:23" ht="30" customHeight="1" x14ac:dyDescent="0.25">
      <c r="A111" s="17">
        <f>SUBTOTAL(103,B$2:B111)*1</f>
        <v>110</v>
      </c>
      <c r="B111" s="17" t="s">
        <v>292</v>
      </c>
      <c r="C111" s="18" t="s">
        <v>1743</v>
      </c>
      <c r="D111" s="18"/>
      <c r="E111" s="17"/>
      <c r="F111" s="17"/>
      <c r="G111" s="17" t="s">
        <v>94</v>
      </c>
      <c r="H111" s="17" t="s">
        <v>620</v>
      </c>
      <c r="I111" s="17"/>
      <c r="J111" s="17" t="s">
        <v>1743</v>
      </c>
      <c r="K111" s="17" t="s">
        <v>412</v>
      </c>
      <c r="L111" s="19"/>
      <c r="M111" s="17" t="s">
        <v>319</v>
      </c>
      <c r="N111" s="19"/>
      <c r="O111" s="17">
        <v>1</v>
      </c>
      <c r="P111" s="17"/>
      <c r="Q111" s="28"/>
      <c r="R111" s="17" t="s">
        <v>532</v>
      </c>
      <c r="S111" s="17"/>
      <c r="T111" s="35" t="s">
        <v>1809</v>
      </c>
      <c r="U111" s="28">
        <v>45964</v>
      </c>
      <c r="V111" s="17"/>
    </row>
    <row r="112" spans="1:23" ht="30" customHeight="1" x14ac:dyDescent="0.25">
      <c r="A112" s="17">
        <f>SUBTOTAL(103,B$2:B112)*1</f>
        <v>111</v>
      </c>
      <c r="B112" s="17" t="s">
        <v>292</v>
      </c>
      <c r="C112" s="18" t="s">
        <v>72</v>
      </c>
      <c r="D112" s="17" t="s">
        <v>9</v>
      </c>
      <c r="E112" s="17"/>
      <c r="F112" s="17"/>
      <c r="G112" s="17" t="s">
        <v>63</v>
      </c>
      <c r="H112" s="17" t="s">
        <v>619</v>
      </c>
      <c r="I112" s="17" t="s">
        <v>503</v>
      </c>
      <c r="J112" s="17" t="s">
        <v>454</v>
      </c>
      <c r="K112" s="17" t="s">
        <v>406</v>
      </c>
      <c r="L112" s="19">
        <v>1100000</v>
      </c>
      <c r="M112" s="17" t="s">
        <v>33</v>
      </c>
      <c r="N112" s="19"/>
      <c r="O112" s="17"/>
      <c r="P112" s="17"/>
      <c r="Q112" s="28"/>
      <c r="R112" s="17" t="s">
        <v>443</v>
      </c>
      <c r="S112" s="17"/>
      <c r="T112" s="20" t="s">
        <v>504</v>
      </c>
      <c r="U112" s="28"/>
      <c r="V112" s="17"/>
    </row>
    <row r="113" spans="1:22" ht="30" customHeight="1" x14ac:dyDescent="0.25">
      <c r="A113" s="17">
        <f>SUBTOTAL(103,B$2:B113)*1</f>
        <v>112</v>
      </c>
      <c r="B113" s="17" t="s">
        <v>292</v>
      </c>
      <c r="C113" s="18" t="s">
        <v>29</v>
      </c>
      <c r="D113" s="17" t="s">
        <v>30</v>
      </c>
      <c r="E113" s="17" t="s">
        <v>9</v>
      </c>
      <c r="F113" s="17"/>
      <c r="G113" s="17" t="s">
        <v>32</v>
      </c>
      <c r="H113" s="17" t="s">
        <v>619</v>
      </c>
      <c r="I113" s="17"/>
      <c r="J113" s="17" t="s">
        <v>407</v>
      </c>
      <c r="K113" s="17" t="s">
        <v>408</v>
      </c>
      <c r="L113" s="19">
        <v>45000000</v>
      </c>
      <c r="M113" s="17" t="s">
        <v>33</v>
      </c>
      <c r="N113" s="19"/>
      <c r="O113" s="17"/>
      <c r="P113" s="17"/>
      <c r="Q113" s="28"/>
      <c r="R113" s="17" t="s">
        <v>474</v>
      </c>
      <c r="S113" s="17"/>
      <c r="T113" s="20"/>
      <c r="U113" s="28"/>
      <c r="V113" s="17"/>
    </row>
    <row r="114" spans="1:22" ht="45" x14ac:dyDescent="0.25">
      <c r="A114" s="17">
        <f>SUBTOTAL(103,B$2:B114)*1</f>
        <v>113</v>
      </c>
      <c r="B114" s="17" t="s">
        <v>292</v>
      </c>
      <c r="C114" s="18" t="s">
        <v>1341</v>
      </c>
      <c r="D114" s="18" t="s">
        <v>31</v>
      </c>
      <c r="E114" s="17"/>
      <c r="F114" s="17"/>
      <c r="G114" s="17" t="s">
        <v>36</v>
      </c>
      <c r="H114" s="17" t="s">
        <v>620</v>
      </c>
      <c r="I114" s="17"/>
      <c r="J114" s="17" t="s">
        <v>750</v>
      </c>
      <c r="K114" s="17" t="s">
        <v>404</v>
      </c>
      <c r="L114" s="19">
        <v>3300000</v>
      </c>
      <c r="M114" s="17" t="s">
        <v>33</v>
      </c>
      <c r="N114" s="19"/>
      <c r="O114" s="17">
        <v>1</v>
      </c>
      <c r="P114" s="17"/>
      <c r="Q114" s="28">
        <v>45888</v>
      </c>
      <c r="R114" s="17" t="s">
        <v>1342</v>
      </c>
      <c r="S114" s="17"/>
      <c r="T114" s="35" t="s">
        <v>1370</v>
      </c>
      <c r="U114" s="28">
        <v>45894</v>
      </c>
      <c r="V114" s="28"/>
    </row>
    <row r="115" spans="1:22" ht="45" x14ac:dyDescent="0.25">
      <c r="A115" s="17">
        <f>SUBTOTAL(103,B$2:B115)*1</f>
        <v>114</v>
      </c>
      <c r="B115" s="17" t="s">
        <v>292</v>
      </c>
      <c r="C115" s="18" t="s">
        <v>1815</v>
      </c>
      <c r="D115" s="18" t="s">
        <v>304</v>
      </c>
      <c r="E115" s="17"/>
      <c r="F115" s="17"/>
      <c r="G115" s="17" t="s">
        <v>625</v>
      </c>
      <c r="H115" s="17" t="s">
        <v>619</v>
      </c>
      <c r="I115" s="17" t="s">
        <v>663</v>
      </c>
      <c r="J115" s="17" t="s">
        <v>1816</v>
      </c>
      <c r="K115" s="17" t="s">
        <v>404</v>
      </c>
      <c r="L115" s="19"/>
      <c r="M115" s="17" t="s">
        <v>307</v>
      </c>
      <c r="N115" s="19"/>
      <c r="O115" s="17">
        <v>1</v>
      </c>
      <c r="P115" s="17"/>
      <c r="Q115" s="28"/>
      <c r="R115" s="17" t="s">
        <v>1342</v>
      </c>
      <c r="S115" s="17"/>
      <c r="T115" s="35" t="s">
        <v>2563</v>
      </c>
      <c r="U115" s="28">
        <v>46034</v>
      </c>
      <c r="V115" s="17"/>
    </row>
    <row r="116" spans="1:22" ht="30" customHeight="1" x14ac:dyDescent="0.25">
      <c r="A116" s="17">
        <f>SUBTOTAL(103,B$2:B116)*1</f>
        <v>115</v>
      </c>
      <c r="B116" s="17" t="s">
        <v>292</v>
      </c>
      <c r="C116" s="18" t="s">
        <v>1656</v>
      </c>
      <c r="D116" s="18" t="s">
        <v>304</v>
      </c>
      <c r="E116" s="17"/>
      <c r="F116" s="17"/>
      <c r="G116" s="17" t="s">
        <v>84</v>
      </c>
      <c r="H116" s="17" t="s">
        <v>618</v>
      </c>
      <c r="I116" s="17"/>
      <c r="J116" s="17" t="s">
        <v>1657</v>
      </c>
      <c r="K116" s="17" t="s">
        <v>404</v>
      </c>
      <c r="L116" s="19"/>
      <c r="M116" s="17" t="s">
        <v>307</v>
      </c>
      <c r="N116" s="19"/>
      <c r="O116" s="17">
        <v>1</v>
      </c>
      <c r="P116" s="17"/>
      <c r="Q116" s="28"/>
      <c r="R116" s="17" t="s">
        <v>473</v>
      </c>
      <c r="S116" s="17"/>
      <c r="T116" s="35" t="s">
        <v>2203</v>
      </c>
      <c r="U116" s="28">
        <v>45950</v>
      </c>
      <c r="V116" s="17"/>
    </row>
    <row r="117" spans="1:22" ht="30" customHeight="1" x14ac:dyDescent="0.25">
      <c r="A117" s="17">
        <f>SUBTOTAL(103,B$2:B117)*1</f>
        <v>116</v>
      </c>
      <c r="B117" s="17" t="s">
        <v>292</v>
      </c>
      <c r="C117" s="18" t="s">
        <v>62</v>
      </c>
      <c r="D117" s="17" t="s">
        <v>124</v>
      </c>
      <c r="E117" s="17"/>
      <c r="F117" s="17"/>
      <c r="G117" s="17" t="s">
        <v>63</v>
      </c>
      <c r="H117" s="17" t="s">
        <v>622</v>
      </c>
      <c r="I117" s="17" t="s">
        <v>596</v>
      </c>
      <c r="J117" s="17" t="s">
        <v>61</v>
      </c>
      <c r="K117" s="17" t="s">
        <v>404</v>
      </c>
      <c r="L117" s="19"/>
      <c r="M117" s="17" t="s">
        <v>33</v>
      </c>
      <c r="N117" s="19"/>
      <c r="O117" s="17">
        <v>3</v>
      </c>
      <c r="P117" s="17"/>
      <c r="Q117" s="28"/>
      <c r="R117" s="17" t="s">
        <v>479</v>
      </c>
      <c r="S117" s="17"/>
      <c r="T117" s="20" t="s">
        <v>501</v>
      </c>
      <c r="U117" s="28">
        <v>45799</v>
      </c>
      <c r="V117" s="28"/>
    </row>
    <row r="118" spans="1:22" ht="30" customHeight="1" x14ac:dyDescent="0.25">
      <c r="A118" s="17">
        <f>SUBTOTAL(103,B$2:B118)*1</f>
        <v>117</v>
      </c>
      <c r="B118" s="17" t="s">
        <v>292</v>
      </c>
      <c r="C118" s="18" t="s">
        <v>1401</v>
      </c>
      <c r="D118" s="18" t="s">
        <v>9</v>
      </c>
      <c r="E118" s="17"/>
      <c r="F118" s="17"/>
      <c r="G118" s="17" t="s">
        <v>91</v>
      </c>
      <c r="H118" s="17" t="s">
        <v>618</v>
      </c>
      <c r="I118" s="17"/>
      <c r="J118" s="17" t="s">
        <v>1402</v>
      </c>
      <c r="K118" s="17" t="s">
        <v>404</v>
      </c>
      <c r="L118" s="19"/>
      <c r="M118" s="17" t="s">
        <v>307</v>
      </c>
      <c r="N118" s="19"/>
      <c r="O118" s="17">
        <v>1</v>
      </c>
      <c r="P118" s="17"/>
      <c r="Q118" s="28"/>
      <c r="R118" s="17" t="s">
        <v>479</v>
      </c>
      <c r="S118" s="17"/>
      <c r="T118" s="35" t="s">
        <v>2454</v>
      </c>
      <c r="U118" s="28">
        <v>45901</v>
      </c>
      <c r="V118" s="28"/>
    </row>
    <row r="119" spans="1:22" ht="30" customHeight="1" x14ac:dyDescent="0.25">
      <c r="A119" s="17">
        <f>SUBTOTAL(103,B$2:B119)*1</f>
        <v>118</v>
      </c>
      <c r="B119" s="17" t="s">
        <v>292</v>
      </c>
      <c r="C119" s="18" t="s">
        <v>93</v>
      </c>
      <c r="D119" s="17" t="s">
        <v>31</v>
      </c>
      <c r="E119" s="17" t="s">
        <v>57</v>
      </c>
      <c r="F119" s="17"/>
      <c r="G119" s="17" t="s">
        <v>94</v>
      </c>
      <c r="H119" s="17" t="s">
        <v>624</v>
      </c>
      <c r="I119" s="17"/>
      <c r="J119" s="17" t="s">
        <v>95</v>
      </c>
      <c r="K119" s="17" t="s">
        <v>404</v>
      </c>
      <c r="L119" s="19"/>
      <c r="M119" s="17" t="s">
        <v>33</v>
      </c>
      <c r="N119" s="19"/>
      <c r="O119" s="17"/>
      <c r="P119" s="17"/>
      <c r="Q119" s="28"/>
      <c r="R119" s="17" t="s">
        <v>477</v>
      </c>
      <c r="S119" s="17"/>
      <c r="T119" s="20"/>
      <c r="U119" s="28"/>
      <c r="V119" s="17"/>
    </row>
    <row r="120" spans="1:22" ht="30" customHeight="1" x14ac:dyDescent="0.25">
      <c r="A120" s="17">
        <f>SUBTOTAL(103,B$2:B120)*1</f>
        <v>119</v>
      </c>
      <c r="B120" s="17" t="s">
        <v>292</v>
      </c>
      <c r="C120" s="18" t="s">
        <v>1018</v>
      </c>
      <c r="D120" s="18" t="s">
        <v>540</v>
      </c>
      <c r="E120" s="17"/>
      <c r="F120" s="17"/>
      <c r="G120" s="17" t="s">
        <v>22</v>
      </c>
      <c r="H120" s="17" t="s">
        <v>618</v>
      </c>
      <c r="I120" s="17" t="s">
        <v>1328</v>
      </c>
      <c r="J120" s="17" t="s">
        <v>999</v>
      </c>
      <c r="K120" s="17" t="s">
        <v>405</v>
      </c>
      <c r="L120" s="19">
        <v>1100000</v>
      </c>
      <c r="M120" s="17" t="s">
        <v>307</v>
      </c>
      <c r="N120" s="19"/>
      <c r="O120" s="17" t="s">
        <v>54</v>
      </c>
      <c r="P120" s="17"/>
      <c r="Q120" s="28"/>
      <c r="R120" s="17" t="s">
        <v>767</v>
      </c>
      <c r="S120" s="17"/>
      <c r="T120" s="35" t="s">
        <v>1126</v>
      </c>
      <c r="U120" s="28">
        <v>45859</v>
      </c>
      <c r="V120" s="28"/>
    </row>
    <row r="121" spans="1:22" ht="30" customHeight="1" x14ac:dyDescent="0.25">
      <c r="A121" s="17">
        <f>SUBTOTAL(103,B$2:B121)*1</f>
        <v>120</v>
      </c>
      <c r="B121" s="17" t="s">
        <v>292</v>
      </c>
      <c r="C121" s="18" t="s">
        <v>1110</v>
      </c>
      <c r="D121" s="17" t="s">
        <v>31</v>
      </c>
      <c r="E121" s="17" t="s">
        <v>57</v>
      </c>
      <c r="F121" s="17"/>
      <c r="G121" s="17" t="s">
        <v>141</v>
      </c>
      <c r="H121" s="17" t="s">
        <v>618</v>
      </c>
      <c r="I121" s="17"/>
      <c r="J121" s="17" t="s">
        <v>142</v>
      </c>
      <c r="K121" s="17" t="s">
        <v>432</v>
      </c>
      <c r="L121" s="19">
        <v>4722600</v>
      </c>
      <c r="M121" s="17" t="s">
        <v>307</v>
      </c>
      <c r="N121" s="19"/>
      <c r="O121" s="17" t="s">
        <v>1109</v>
      </c>
      <c r="P121" s="17"/>
      <c r="Q121" s="28">
        <v>45856</v>
      </c>
      <c r="R121" s="17" t="s">
        <v>767</v>
      </c>
      <c r="S121" s="17"/>
      <c r="T121" s="20" t="s">
        <v>1108</v>
      </c>
      <c r="U121" s="28">
        <v>45859</v>
      </c>
      <c r="V121" s="28"/>
    </row>
    <row r="122" spans="1:22" ht="30" x14ac:dyDescent="0.25">
      <c r="A122" s="17">
        <f>SUBTOTAL(103,B$2:B122)*1</f>
        <v>121</v>
      </c>
      <c r="B122" s="17" t="s">
        <v>292</v>
      </c>
      <c r="C122" s="18" t="s">
        <v>1112</v>
      </c>
      <c r="D122" s="17" t="s">
        <v>31</v>
      </c>
      <c r="E122" s="17" t="s">
        <v>57</v>
      </c>
      <c r="F122" s="17"/>
      <c r="G122" s="17" t="s">
        <v>48</v>
      </c>
      <c r="H122" s="17" t="s">
        <v>618</v>
      </c>
      <c r="I122" s="17" t="s">
        <v>586</v>
      </c>
      <c r="J122" s="17" t="s">
        <v>439</v>
      </c>
      <c r="K122" s="17" t="s">
        <v>404</v>
      </c>
      <c r="L122" s="19">
        <v>7610000</v>
      </c>
      <c r="M122" s="17" t="s">
        <v>307</v>
      </c>
      <c r="N122" s="19"/>
      <c r="O122" s="17" t="s">
        <v>1109</v>
      </c>
      <c r="P122" s="17"/>
      <c r="Q122" s="28">
        <v>45864</v>
      </c>
      <c r="R122" s="17" t="s">
        <v>529</v>
      </c>
      <c r="S122" s="17"/>
      <c r="T122" s="35" t="s">
        <v>1361</v>
      </c>
      <c r="U122" s="28">
        <v>45874</v>
      </c>
      <c r="V122" s="28"/>
    </row>
    <row r="123" spans="1:22" ht="41.5" customHeight="1" x14ac:dyDescent="0.25">
      <c r="A123" s="17">
        <f>SUBTOTAL(103,B$2:B123)*1</f>
        <v>122</v>
      </c>
      <c r="B123" s="17" t="s">
        <v>292</v>
      </c>
      <c r="C123" s="18" t="s">
        <v>1223</v>
      </c>
      <c r="D123" s="17" t="s">
        <v>31</v>
      </c>
      <c r="E123" s="17" t="s">
        <v>57</v>
      </c>
      <c r="F123" s="17"/>
      <c r="G123" s="17" t="s">
        <v>91</v>
      </c>
      <c r="H123" s="17" t="s">
        <v>618</v>
      </c>
      <c r="I123" s="17"/>
      <c r="J123" s="17" t="s">
        <v>746</v>
      </c>
      <c r="K123" s="17" t="s">
        <v>748</v>
      </c>
      <c r="L123" s="19">
        <v>28077500</v>
      </c>
      <c r="M123" s="17" t="s">
        <v>307</v>
      </c>
      <c r="N123" s="19"/>
      <c r="O123" s="17" t="s">
        <v>1109</v>
      </c>
      <c r="P123" s="17"/>
      <c r="Q123" s="28">
        <v>45869</v>
      </c>
      <c r="R123" s="17" t="s">
        <v>2602</v>
      </c>
      <c r="S123" s="17"/>
      <c r="T123" s="35" t="s">
        <v>1222</v>
      </c>
      <c r="U123" s="28">
        <v>45874</v>
      </c>
      <c r="V123" s="28"/>
    </row>
    <row r="124" spans="1:22" ht="30" customHeight="1" x14ac:dyDescent="0.25">
      <c r="A124" s="17">
        <f>SUBTOTAL(103,B$2:B124)*1</f>
        <v>123</v>
      </c>
      <c r="B124" s="17" t="s">
        <v>292</v>
      </c>
      <c r="C124" s="18" t="s">
        <v>1326</v>
      </c>
      <c r="D124" s="18" t="s">
        <v>9</v>
      </c>
      <c r="E124" s="17"/>
      <c r="F124" s="17"/>
      <c r="G124" s="17" t="s">
        <v>102</v>
      </c>
      <c r="H124" s="17" t="s">
        <v>618</v>
      </c>
      <c r="I124" s="17"/>
      <c r="J124" s="17" t="s">
        <v>1058</v>
      </c>
      <c r="K124" s="17" t="s">
        <v>406</v>
      </c>
      <c r="L124" s="19"/>
      <c r="M124" s="17" t="s">
        <v>307</v>
      </c>
      <c r="N124" s="19"/>
      <c r="O124" s="17">
        <v>1</v>
      </c>
      <c r="P124" s="17"/>
      <c r="Q124" s="28">
        <v>45882</v>
      </c>
      <c r="R124" s="17" t="s">
        <v>2603</v>
      </c>
      <c r="S124" s="17"/>
      <c r="T124" s="35" t="s">
        <v>1327</v>
      </c>
      <c r="U124" s="28">
        <v>45887</v>
      </c>
      <c r="V124" s="28"/>
    </row>
    <row r="125" spans="1:22" ht="30" customHeight="1" x14ac:dyDescent="0.25">
      <c r="A125" s="17">
        <f>SUBTOTAL(103,B$2:B125)*1</f>
        <v>124</v>
      </c>
      <c r="B125" s="17" t="s">
        <v>292</v>
      </c>
      <c r="C125" s="18" t="s">
        <v>1409</v>
      </c>
      <c r="D125" s="18" t="s">
        <v>31</v>
      </c>
      <c r="E125" s="17"/>
      <c r="F125" s="17"/>
      <c r="G125" s="17" t="s">
        <v>16</v>
      </c>
      <c r="H125" s="17" t="s">
        <v>618</v>
      </c>
      <c r="I125" s="17"/>
      <c r="J125" s="17" t="s">
        <v>1398</v>
      </c>
      <c r="K125" s="17" t="s">
        <v>404</v>
      </c>
      <c r="L125" s="19"/>
      <c r="M125" s="17" t="s">
        <v>33</v>
      </c>
      <c r="N125" s="19"/>
      <c r="O125" s="17">
        <v>1</v>
      </c>
      <c r="P125" s="17"/>
      <c r="Q125" s="28">
        <v>45897</v>
      </c>
      <c r="R125" s="17" t="s">
        <v>529</v>
      </c>
      <c r="S125" s="17"/>
      <c r="T125" s="35" t="s">
        <v>1495</v>
      </c>
      <c r="U125" s="28">
        <v>45901</v>
      </c>
      <c r="V125" s="28"/>
    </row>
    <row r="126" spans="1:22" ht="30" customHeight="1" x14ac:dyDescent="0.25">
      <c r="A126" s="17">
        <f>SUBTOTAL(103,B$2:B126)*1</f>
        <v>125</v>
      </c>
      <c r="B126" s="17" t="s">
        <v>292</v>
      </c>
      <c r="C126" s="18" t="s">
        <v>1507</v>
      </c>
      <c r="D126" s="18" t="s">
        <v>298</v>
      </c>
      <c r="E126" s="17"/>
      <c r="F126" s="17"/>
      <c r="G126" s="17" t="s">
        <v>136</v>
      </c>
      <c r="H126" s="17" t="s">
        <v>620</v>
      </c>
      <c r="I126" s="17"/>
      <c r="J126" s="17" t="s">
        <v>1508</v>
      </c>
      <c r="K126" s="17" t="s">
        <v>404</v>
      </c>
      <c r="L126" s="19">
        <v>9659634.5</v>
      </c>
      <c r="M126" s="17" t="s">
        <v>307</v>
      </c>
      <c r="N126" s="19"/>
      <c r="O126" s="17">
        <v>1</v>
      </c>
      <c r="P126" s="17"/>
      <c r="Q126" s="28">
        <v>45939</v>
      </c>
      <c r="R126" s="17" t="s">
        <v>529</v>
      </c>
      <c r="S126" s="17"/>
      <c r="T126" s="35" t="s">
        <v>2451</v>
      </c>
      <c r="U126" s="28">
        <v>45922</v>
      </c>
      <c r="V126" s="28"/>
    </row>
    <row r="127" spans="1:22" ht="30" customHeight="1" x14ac:dyDescent="0.25">
      <c r="A127" s="17">
        <f>SUBTOTAL(103,B$2:B127)*1</f>
        <v>126</v>
      </c>
      <c r="B127" s="17" t="s">
        <v>292</v>
      </c>
      <c r="C127" s="18" t="s">
        <v>1634</v>
      </c>
      <c r="D127" s="18" t="s">
        <v>298</v>
      </c>
      <c r="E127" s="17"/>
      <c r="F127" s="17"/>
      <c r="G127" s="17" t="s">
        <v>1633</v>
      </c>
      <c r="H127" s="17" t="s">
        <v>618</v>
      </c>
      <c r="I127" s="17"/>
      <c r="J127" s="17" t="s">
        <v>1632</v>
      </c>
      <c r="K127" s="17" t="s">
        <v>404</v>
      </c>
      <c r="L127" s="19">
        <v>7514750</v>
      </c>
      <c r="M127" s="17" t="s">
        <v>307</v>
      </c>
      <c r="N127" s="19"/>
      <c r="O127" s="17">
        <v>2</v>
      </c>
      <c r="P127" s="17"/>
      <c r="Q127" s="28">
        <v>45965</v>
      </c>
      <c r="R127" s="17" t="s">
        <v>529</v>
      </c>
      <c r="S127" s="17"/>
      <c r="T127" s="35" t="s">
        <v>2453</v>
      </c>
      <c r="U127" s="28">
        <v>45950</v>
      </c>
      <c r="V127" s="17"/>
    </row>
    <row r="128" spans="1:22" ht="30" customHeight="1" x14ac:dyDescent="0.25">
      <c r="A128" s="17">
        <f>SUBTOTAL(103,B$2:B128)*1</f>
        <v>127</v>
      </c>
      <c r="B128" s="17" t="s">
        <v>292</v>
      </c>
      <c r="C128" s="18" t="s">
        <v>702</v>
      </c>
      <c r="D128" s="17" t="s">
        <v>703</v>
      </c>
      <c r="E128" s="17" t="s">
        <v>57</v>
      </c>
      <c r="F128" s="17"/>
      <c r="G128" s="17" t="s">
        <v>190</v>
      </c>
      <c r="H128" s="17" t="s">
        <v>618</v>
      </c>
      <c r="I128" s="17" t="s">
        <v>705</v>
      </c>
      <c r="J128" s="17" t="s">
        <v>497</v>
      </c>
      <c r="K128" s="17" t="s">
        <v>404</v>
      </c>
      <c r="L128" s="19">
        <v>3400000</v>
      </c>
      <c r="M128" s="17" t="s">
        <v>307</v>
      </c>
      <c r="N128" s="19"/>
      <c r="O128" s="17">
        <v>2</v>
      </c>
      <c r="P128" s="17"/>
      <c r="Q128" s="28">
        <v>45807</v>
      </c>
      <c r="R128" s="17" t="s">
        <v>664</v>
      </c>
      <c r="S128" s="17"/>
      <c r="T128" s="35"/>
      <c r="U128" s="28">
        <v>45803</v>
      </c>
      <c r="V128" s="28"/>
    </row>
    <row r="129" spans="1:23" ht="30" customHeight="1" x14ac:dyDescent="0.25">
      <c r="A129" s="17">
        <f>SUBTOTAL(103,B$2:B129)*1</f>
        <v>128</v>
      </c>
      <c r="B129" s="17" t="s">
        <v>292</v>
      </c>
      <c r="C129" s="18" t="s">
        <v>1140</v>
      </c>
      <c r="D129" s="18" t="s">
        <v>298</v>
      </c>
      <c r="E129" s="17"/>
      <c r="F129" s="17"/>
      <c r="G129" s="17" t="s">
        <v>190</v>
      </c>
      <c r="H129" s="17" t="s">
        <v>618</v>
      </c>
      <c r="I129" s="17"/>
      <c r="J129" s="17" t="s">
        <v>1139</v>
      </c>
      <c r="K129" s="17" t="s">
        <v>748</v>
      </c>
      <c r="L129" s="19">
        <v>4200000</v>
      </c>
      <c r="M129" s="17" t="s">
        <v>307</v>
      </c>
      <c r="N129" s="19"/>
      <c r="O129" s="17">
        <v>2</v>
      </c>
      <c r="P129" s="17"/>
      <c r="Q129" s="28">
        <v>45854</v>
      </c>
      <c r="R129" s="17" t="s">
        <v>664</v>
      </c>
      <c r="S129" s="17"/>
      <c r="T129" s="35" t="s">
        <v>1138</v>
      </c>
      <c r="U129" s="28">
        <v>45859</v>
      </c>
      <c r="V129" s="28"/>
    </row>
    <row r="130" spans="1:23" ht="30" customHeight="1" x14ac:dyDescent="0.25">
      <c r="A130" s="17">
        <f>SUBTOTAL(103,B$2:B130)*1</f>
        <v>129</v>
      </c>
      <c r="B130" s="17" t="s">
        <v>292</v>
      </c>
      <c r="C130" s="18" t="s">
        <v>1375</v>
      </c>
      <c r="D130" s="18" t="s">
        <v>122</v>
      </c>
      <c r="E130" s="17"/>
      <c r="F130" s="17"/>
      <c r="G130" s="17" t="s">
        <v>36</v>
      </c>
      <c r="H130" s="17" t="s">
        <v>620</v>
      </c>
      <c r="I130" s="17"/>
      <c r="J130" s="17" t="s">
        <v>1376</v>
      </c>
      <c r="K130" s="17" t="s">
        <v>405</v>
      </c>
      <c r="L130" s="19"/>
      <c r="M130" s="17" t="s">
        <v>307</v>
      </c>
      <c r="N130" s="19"/>
      <c r="O130" s="17">
        <v>1</v>
      </c>
      <c r="P130" s="17" t="s">
        <v>1493</v>
      </c>
      <c r="Q130" s="28">
        <v>45896</v>
      </c>
      <c r="R130" s="17" t="s">
        <v>664</v>
      </c>
      <c r="S130" s="17"/>
      <c r="T130" s="35" t="s">
        <v>1494</v>
      </c>
      <c r="U130" s="28">
        <v>45901</v>
      </c>
      <c r="V130" s="28"/>
    </row>
    <row r="131" spans="1:23" ht="30" customHeight="1" x14ac:dyDescent="0.25">
      <c r="A131" s="17">
        <f>SUBTOTAL(103,B$2:B131)*1</f>
        <v>130</v>
      </c>
      <c r="B131" s="17" t="s">
        <v>292</v>
      </c>
      <c r="C131" s="18" t="s">
        <v>1449</v>
      </c>
      <c r="D131" s="18" t="s">
        <v>540</v>
      </c>
      <c r="E131" s="17"/>
      <c r="F131" s="17"/>
      <c r="G131" s="17" t="s">
        <v>36</v>
      </c>
      <c r="H131" s="17" t="s">
        <v>620</v>
      </c>
      <c r="I131" s="17"/>
      <c r="J131" s="17" t="s">
        <v>1448</v>
      </c>
      <c r="K131" s="17" t="s">
        <v>748</v>
      </c>
      <c r="L131" s="19"/>
      <c r="M131" s="17" t="s">
        <v>307</v>
      </c>
      <c r="N131" s="19"/>
      <c r="O131" s="17">
        <v>1</v>
      </c>
      <c r="P131" s="17"/>
      <c r="Q131" s="28"/>
      <c r="R131" s="17" t="s">
        <v>664</v>
      </c>
      <c r="S131" s="17"/>
      <c r="T131" s="35" t="s">
        <v>1453</v>
      </c>
      <c r="U131" s="28">
        <v>45908</v>
      </c>
      <c r="V131" s="28"/>
    </row>
    <row r="132" spans="1:23" ht="30" customHeight="1" x14ac:dyDescent="0.25">
      <c r="A132" s="17">
        <f>SUBTOTAL(103,B$2:B132)*1</f>
        <v>131</v>
      </c>
      <c r="B132" s="17" t="s">
        <v>292</v>
      </c>
      <c r="C132" s="18" t="s">
        <v>1406</v>
      </c>
      <c r="D132" s="18" t="s">
        <v>31</v>
      </c>
      <c r="E132" s="17"/>
      <c r="F132" s="17"/>
      <c r="G132" s="17" t="s">
        <v>580</v>
      </c>
      <c r="H132" s="17" t="s">
        <v>618</v>
      </c>
      <c r="I132" s="17"/>
      <c r="J132" s="17" t="s">
        <v>1406</v>
      </c>
      <c r="K132" s="17" t="s">
        <v>404</v>
      </c>
      <c r="L132" s="19"/>
      <c r="M132" s="17" t="s">
        <v>307</v>
      </c>
      <c r="N132" s="19"/>
      <c r="O132" s="17">
        <v>2</v>
      </c>
      <c r="P132" s="17"/>
      <c r="Q132" s="28"/>
      <c r="R132" s="17" t="s">
        <v>664</v>
      </c>
      <c r="S132" s="17"/>
      <c r="T132" s="35" t="s">
        <v>1737</v>
      </c>
      <c r="U132" s="28">
        <v>45964</v>
      </c>
      <c r="V132" s="28"/>
    </row>
    <row r="133" spans="1:23" ht="45" x14ac:dyDescent="0.25">
      <c r="A133" s="17">
        <f>SUBTOTAL(103,B$2:B133)*1</f>
        <v>132</v>
      </c>
      <c r="B133" s="17" t="s">
        <v>393</v>
      </c>
      <c r="C133" s="18" t="s">
        <v>564</v>
      </c>
      <c r="D133" s="17" t="s">
        <v>31</v>
      </c>
      <c r="E133" s="17" t="s">
        <v>355</v>
      </c>
      <c r="F133" s="17" t="s">
        <v>540</v>
      </c>
      <c r="G133" s="17" t="s">
        <v>48</v>
      </c>
      <c r="H133" s="17" t="s">
        <v>618</v>
      </c>
      <c r="I133" s="17" t="s">
        <v>543</v>
      </c>
      <c r="J133" s="17" t="s">
        <v>565</v>
      </c>
      <c r="K133" s="17" t="s">
        <v>404</v>
      </c>
      <c r="L133" s="19">
        <v>5000000</v>
      </c>
      <c r="M133" s="17" t="s">
        <v>307</v>
      </c>
      <c r="N133" s="19"/>
      <c r="O133" s="17" t="s">
        <v>54</v>
      </c>
      <c r="P133" s="17"/>
      <c r="Q133" s="28"/>
      <c r="R133" s="17" t="s">
        <v>664</v>
      </c>
      <c r="S133" s="17"/>
      <c r="T133" s="20" t="s">
        <v>1479</v>
      </c>
      <c r="U133" s="28">
        <v>45915</v>
      </c>
      <c r="V133" s="28"/>
    </row>
    <row r="134" spans="1:23" ht="30" customHeight="1" x14ac:dyDescent="0.25">
      <c r="A134" s="17">
        <f>SUBTOTAL(103,B$2:B134)*1</f>
        <v>133</v>
      </c>
      <c r="B134" s="17" t="s">
        <v>292</v>
      </c>
      <c r="C134" s="18" t="s">
        <v>2461</v>
      </c>
      <c r="D134" s="18" t="s">
        <v>298</v>
      </c>
      <c r="E134" s="17"/>
      <c r="F134" s="17"/>
      <c r="G134" s="17" t="s">
        <v>2462</v>
      </c>
      <c r="H134" s="17" t="s">
        <v>2463</v>
      </c>
      <c r="I134" s="17"/>
      <c r="J134" s="17" t="s">
        <v>2459</v>
      </c>
      <c r="K134" s="17" t="s">
        <v>2460</v>
      </c>
      <c r="L134" s="19"/>
      <c r="M134" s="17" t="s">
        <v>307</v>
      </c>
      <c r="N134" s="19"/>
      <c r="O134" s="17"/>
      <c r="P134" s="17"/>
      <c r="Q134" s="28"/>
      <c r="R134" s="17" t="s">
        <v>664</v>
      </c>
      <c r="S134" s="17"/>
      <c r="T134" s="20"/>
      <c r="U134" s="28"/>
      <c r="V134" s="28"/>
    </row>
    <row r="135" spans="1:23" ht="30" customHeight="1" x14ac:dyDescent="0.25">
      <c r="A135" s="17">
        <f>SUBTOTAL(103,B$2:B135)*1</f>
        <v>134</v>
      </c>
      <c r="B135" s="17" t="s">
        <v>292</v>
      </c>
      <c r="C135" s="18" t="s">
        <v>2464</v>
      </c>
      <c r="D135" s="17"/>
      <c r="E135" s="17"/>
      <c r="F135" s="17"/>
      <c r="G135" s="17" t="s">
        <v>190</v>
      </c>
      <c r="H135" s="17" t="s">
        <v>618</v>
      </c>
      <c r="I135" s="17"/>
      <c r="J135" s="17" t="s">
        <v>2464</v>
      </c>
      <c r="K135" s="17" t="s">
        <v>2460</v>
      </c>
      <c r="L135" s="19"/>
      <c r="M135" s="17" t="s">
        <v>307</v>
      </c>
      <c r="N135" s="19"/>
      <c r="O135" s="17"/>
      <c r="P135" s="17"/>
      <c r="Q135" s="28"/>
      <c r="R135" s="17" t="s">
        <v>664</v>
      </c>
      <c r="S135" s="17"/>
      <c r="T135" s="20"/>
      <c r="U135" s="28"/>
      <c r="V135" s="28"/>
    </row>
    <row r="136" spans="1:23" ht="30" customHeight="1" x14ac:dyDescent="0.25">
      <c r="A136" s="17">
        <f>SUBTOTAL(103,B$2:B136)*1</f>
        <v>135</v>
      </c>
      <c r="B136" s="17" t="s">
        <v>292</v>
      </c>
      <c r="C136" s="17" t="s">
        <v>2465</v>
      </c>
      <c r="D136" s="17"/>
      <c r="E136" s="17"/>
      <c r="F136" s="17"/>
      <c r="G136" s="17" t="s">
        <v>359</v>
      </c>
      <c r="H136" s="17" t="s">
        <v>2463</v>
      </c>
      <c r="I136" s="17"/>
      <c r="J136" s="17" t="s">
        <v>2466</v>
      </c>
      <c r="K136" s="17" t="s">
        <v>2467</v>
      </c>
      <c r="L136" s="19"/>
      <c r="M136" s="17" t="s">
        <v>307</v>
      </c>
      <c r="N136" s="19"/>
      <c r="O136" s="17"/>
      <c r="P136" s="17"/>
      <c r="Q136" s="28"/>
      <c r="R136" s="17" t="s">
        <v>664</v>
      </c>
      <c r="S136" s="17"/>
      <c r="T136" s="20"/>
      <c r="U136" s="28"/>
      <c r="V136" s="28"/>
    </row>
    <row r="137" spans="1:23" ht="30" customHeight="1" x14ac:dyDescent="0.25">
      <c r="A137" s="17">
        <f>SUBTOTAL(103,B$2:B137)*1</f>
        <v>136</v>
      </c>
      <c r="B137" s="17" t="s">
        <v>292</v>
      </c>
      <c r="C137" s="18" t="s">
        <v>877</v>
      </c>
      <c r="D137" s="17" t="s">
        <v>90</v>
      </c>
      <c r="E137" s="17"/>
      <c r="F137" s="17"/>
      <c r="G137" s="17" t="s">
        <v>203</v>
      </c>
      <c r="H137" s="17" t="s">
        <v>618</v>
      </c>
      <c r="I137" s="17"/>
      <c r="J137" s="17" t="s">
        <v>876</v>
      </c>
      <c r="K137" s="17" t="s">
        <v>881</v>
      </c>
      <c r="L137" s="19"/>
      <c r="M137" s="17" t="s">
        <v>307</v>
      </c>
      <c r="N137" s="19"/>
      <c r="O137" s="17"/>
      <c r="P137" s="17"/>
      <c r="Q137" s="28"/>
      <c r="R137" s="17" t="s">
        <v>474</v>
      </c>
      <c r="S137" s="17"/>
      <c r="T137" s="20" t="s">
        <v>882</v>
      </c>
      <c r="U137" s="28">
        <v>45828</v>
      </c>
      <c r="V137" s="17" t="s">
        <v>878</v>
      </c>
      <c r="W137" s="52"/>
    </row>
    <row r="138" spans="1:23" ht="30" customHeight="1" x14ac:dyDescent="0.25">
      <c r="A138" s="17">
        <f>SUBTOTAL(103,B$2:B138)*1</f>
        <v>137</v>
      </c>
      <c r="B138" s="17" t="s">
        <v>292</v>
      </c>
      <c r="C138" s="18" t="s">
        <v>844</v>
      </c>
      <c r="D138" s="18" t="s">
        <v>540</v>
      </c>
      <c r="E138" s="17" t="s">
        <v>57</v>
      </c>
      <c r="F138" s="17"/>
      <c r="G138" s="17" t="s">
        <v>102</v>
      </c>
      <c r="H138" s="17" t="s">
        <v>618</v>
      </c>
      <c r="I138" s="17"/>
      <c r="J138" s="17" t="s">
        <v>843</v>
      </c>
      <c r="K138" s="17" t="s">
        <v>404</v>
      </c>
      <c r="L138" s="19"/>
      <c r="M138" s="21" t="s">
        <v>307</v>
      </c>
      <c r="N138" s="19"/>
      <c r="O138" s="17">
        <v>3</v>
      </c>
      <c r="P138" s="17"/>
      <c r="Q138" s="28"/>
      <c r="R138" s="17" t="s">
        <v>2604</v>
      </c>
      <c r="S138" s="17"/>
      <c r="T138" s="35" t="s">
        <v>1073</v>
      </c>
      <c r="U138" s="28">
        <v>45852</v>
      </c>
      <c r="V138" s="28"/>
    </row>
    <row r="139" spans="1:23" ht="30" customHeight="1" x14ac:dyDescent="0.25">
      <c r="A139" s="17">
        <f>SUBTOTAL(103,B$2:B139)*1</f>
        <v>138</v>
      </c>
      <c r="B139" s="17" t="s">
        <v>292</v>
      </c>
      <c r="C139" s="18" t="s">
        <v>1580</v>
      </c>
      <c r="D139" s="18" t="s">
        <v>298</v>
      </c>
      <c r="E139" s="17"/>
      <c r="F139" s="17"/>
      <c r="G139" s="17" t="s">
        <v>6</v>
      </c>
      <c r="H139" s="17" t="s">
        <v>618</v>
      </c>
      <c r="I139" s="17"/>
      <c r="J139" s="17" t="s">
        <v>939</v>
      </c>
      <c r="K139" s="17" t="s">
        <v>404</v>
      </c>
      <c r="L139" s="19">
        <v>44861500</v>
      </c>
      <c r="M139" s="17" t="s">
        <v>307</v>
      </c>
      <c r="N139" s="19"/>
      <c r="O139" s="17" t="s">
        <v>1560</v>
      </c>
      <c r="P139" s="17"/>
      <c r="Q139" s="28"/>
      <c r="R139" s="17" t="s">
        <v>529</v>
      </c>
      <c r="S139" s="17"/>
      <c r="T139" s="35" t="s">
        <v>1580</v>
      </c>
      <c r="U139" s="28">
        <v>45971</v>
      </c>
      <c r="V139" s="28"/>
    </row>
    <row r="140" spans="1:23" ht="45" x14ac:dyDescent="0.25">
      <c r="A140" s="17">
        <f>SUBTOTAL(103,B$2:B140)*1</f>
        <v>139</v>
      </c>
      <c r="B140" s="17" t="s">
        <v>292</v>
      </c>
      <c r="C140" s="18" t="s">
        <v>1135</v>
      </c>
      <c r="D140" s="18" t="s">
        <v>31</v>
      </c>
      <c r="E140" s="17"/>
      <c r="F140" s="17"/>
      <c r="G140" s="17" t="s">
        <v>79</v>
      </c>
      <c r="H140" s="17" t="s">
        <v>620</v>
      </c>
      <c r="I140" s="17"/>
      <c r="J140" s="17" t="s">
        <v>1135</v>
      </c>
      <c r="K140" s="17" t="s">
        <v>404</v>
      </c>
      <c r="L140" s="19"/>
      <c r="M140" s="17" t="s">
        <v>307</v>
      </c>
      <c r="N140" s="19"/>
      <c r="O140" s="17">
        <v>1</v>
      </c>
      <c r="P140" s="17"/>
      <c r="Q140" s="28"/>
      <c r="R140" s="17" t="s">
        <v>532</v>
      </c>
      <c r="S140" s="17"/>
      <c r="T140" s="35" t="s">
        <v>1194</v>
      </c>
      <c r="U140" s="28">
        <v>45859</v>
      </c>
      <c r="V140" s="28"/>
    </row>
    <row r="141" spans="1:23" ht="45" x14ac:dyDescent="0.25">
      <c r="A141" s="17">
        <f>SUBTOTAL(103,B$2:B141)*1</f>
        <v>140</v>
      </c>
      <c r="B141" s="17" t="s">
        <v>292</v>
      </c>
      <c r="C141" s="18" t="s">
        <v>1346</v>
      </c>
      <c r="D141" s="18" t="s">
        <v>31</v>
      </c>
      <c r="E141" s="17"/>
      <c r="F141" s="17"/>
      <c r="G141" s="17" t="s">
        <v>79</v>
      </c>
      <c r="H141" s="17" t="s">
        <v>620</v>
      </c>
      <c r="I141" s="17"/>
      <c r="J141" s="17" t="s">
        <v>1346</v>
      </c>
      <c r="K141" s="17" t="s">
        <v>404</v>
      </c>
      <c r="L141" s="19"/>
      <c r="M141" s="17" t="s">
        <v>307</v>
      </c>
      <c r="N141" s="19"/>
      <c r="O141" s="17">
        <v>1</v>
      </c>
      <c r="P141" s="17"/>
      <c r="Q141" s="28"/>
      <c r="R141" s="17" t="s">
        <v>532</v>
      </c>
      <c r="S141" s="17"/>
      <c r="T141" s="35" t="s">
        <v>1371</v>
      </c>
      <c r="U141" s="28">
        <v>45894</v>
      </c>
      <c r="V141" s="28"/>
    </row>
    <row r="142" spans="1:23" ht="30" x14ac:dyDescent="0.25">
      <c r="A142" s="17">
        <f>SUBTOTAL(103,B$2:B142)*1</f>
        <v>141</v>
      </c>
      <c r="B142" s="17" t="s">
        <v>292</v>
      </c>
      <c r="C142" s="18" t="s">
        <v>1349</v>
      </c>
      <c r="D142" s="18" t="s">
        <v>31</v>
      </c>
      <c r="E142" s="17"/>
      <c r="F142" s="17"/>
      <c r="G142" s="17" t="s">
        <v>65</v>
      </c>
      <c r="H142" s="17" t="s">
        <v>620</v>
      </c>
      <c r="I142" s="17"/>
      <c r="J142" s="17" t="s">
        <v>1348</v>
      </c>
      <c r="K142" s="17" t="s">
        <v>404</v>
      </c>
      <c r="L142" s="19"/>
      <c r="M142" s="17" t="s">
        <v>307</v>
      </c>
      <c r="N142" s="19"/>
      <c r="O142" s="17">
        <v>1</v>
      </c>
      <c r="P142" s="17"/>
      <c r="Q142" s="28"/>
      <c r="R142" s="17" t="s">
        <v>532</v>
      </c>
      <c r="S142" s="17"/>
      <c r="T142" s="35" t="s">
        <v>1372</v>
      </c>
      <c r="U142" s="28">
        <v>45894</v>
      </c>
      <c r="V142" s="28"/>
    </row>
    <row r="143" spans="1:23" ht="60" x14ac:dyDescent="0.25">
      <c r="A143" s="17">
        <f>SUBTOTAL(103,B$2:B143)*1</f>
        <v>142</v>
      </c>
      <c r="B143" s="17" t="s">
        <v>1886</v>
      </c>
      <c r="C143" s="18" t="s">
        <v>1887</v>
      </c>
      <c r="D143" s="18" t="s">
        <v>540</v>
      </c>
      <c r="E143" s="17"/>
      <c r="F143" s="17"/>
      <c r="G143" s="17" t="s">
        <v>602</v>
      </c>
      <c r="H143" s="17" t="s">
        <v>618</v>
      </c>
      <c r="I143" s="17"/>
      <c r="J143" s="17" t="s">
        <v>1880</v>
      </c>
      <c r="K143" s="17" t="s">
        <v>404</v>
      </c>
      <c r="L143" s="19"/>
      <c r="M143" s="17" t="s">
        <v>307</v>
      </c>
      <c r="N143" s="19"/>
      <c r="O143" s="17">
        <v>1</v>
      </c>
      <c r="P143" s="17"/>
      <c r="Q143" s="28"/>
      <c r="R143" s="17" t="s">
        <v>532</v>
      </c>
      <c r="S143" s="17"/>
      <c r="T143" s="35" t="s">
        <v>1962</v>
      </c>
      <c r="U143" s="28">
        <v>45985</v>
      </c>
      <c r="V143" s="17"/>
    </row>
    <row r="144" spans="1:23" ht="30" customHeight="1" x14ac:dyDescent="0.25">
      <c r="A144" s="17">
        <f>SUBTOTAL(103,B$2:B144)*1</f>
        <v>143</v>
      </c>
      <c r="B144" s="17" t="s">
        <v>292</v>
      </c>
      <c r="C144" s="18" t="s">
        <v>1322</v>
      </c>
      <c r="D144" s="18" t="s">
        <v>90</v>
      </c>
      <c r="E144" s="17"/>
      <c r="F144" s="17"/>
      <c r="G144" s="17" t="s">
        <v>6</v>
      </c>
      <c r="H144" s="17" t="s">
        <v>618</v>
      </c>
      <c r="I144" s="17" t="s">
        <v>390</v>
      </c>
      <c r="J144" s="17" t="s">
        <v>401</v>
      </c>
      <c r="K144" s="17" t="s">
        <v>404</v>
      </c>
      <c r="L144" s="19">
        <v>300000</v>
      </c>
      <c r="M144" s="17" t="s">
        <v>211</v>
      </c>
      <c r="N144" s="19"/>
      <c r="O144" s="17">
        <v>1</v>
      </c>
      <c r="P144" s="17"/>
      <c r="Q144" s="28"/>
      <c r="R144" s="17" t="s">
        <v>474</v>
      </c>
      <c r="S144" s="17"/>
      <c r="T144" s="35" t="s">
        <v>1340</v>
      </c>
      <c r="U144" s="28">
        <v>45887</v>
      </c>
      <c r="V144" s="28" t="s">
        <v>1319</v>
      </c>
    </row>
    <row r="145" spans="1:23" ht="30" customHeight="1" x14ac:dyDescent="0.25">
      <c r="A145" s="17">
        <f>SUBTOTAL(103,B$2:B145)*1</f>
        <v>144</v>
      </c>
      <c r="B145" s="17" t="s">
        <v>393</v>
      </c>
      <c r="C145" s="18" t="s">
        <v>397</v>
      </c>
      <c r="D145" s="17" t="s">
        <v>31</v>
      </c>
      <c r="E145" s="17"/>
      <c r="F145" s="17"/>
      <c r="G145" s="17" t="s">
        <v>22</v>
      </c>
      <c r="H145" s="17" t="s">
        <v>618</v>
      </c>
      <c r="I145" s="17" t="s">
        <v>388</v>
      </c>
      <c r="J145" s="17" t="s">
        <v>420</v>
      </c>
      <c r="K145" s="17" t="s">
        <v>404</v>
      </c>
      <c r="L145" s="19">
        <v>7200000</v>
      </c>
      <c r="M145" s="17" t="s">
        <v>60</v>
      </c>
      <c r="N145" s="19"/>
      <c r="O145" s="17" t="s">
        <v>54</v>
      </c>
      <c r="P145" s="17"/>
      <c r="Q145" s="28"/>
      <c r="R145" s="17" t="s">
        <v>386</v>
      </c>
      <c r="S145" s="17"/>
      <c r="T145" s="20" t="s">
        <v>2576</v>
      </c>
      <c r="U145" s="28">
        <v>46034</v>
      </c>
      <c r="V145" s="28"/>
    </row>
    <row r="146" spans="1:23" ht="30" customHeight="1" x14ac:dyDescent="0.25">
      <c r="A146" s="17">
        <f>SUBTOTAL(103,B$2:B146)*1</f>
        <v>145</v>
      </c>
      <c r="B146" s="62" t="s">
        <v>2535</v>
      </c>
      <c r="C146" s="18" t="s">
        <v>58</v>
      </c>
      <c r="D146" s="17" t="s">
        <v>31</v>
      </c>
      <c r="E146" s="17" t="s">
        <v>57</v>
      </c>
      <c r="F146" s="17"/>
      <c r="G146" s="17" t="s">
        <v>22</v>
      </c>
      <c r="H146" s="17" t="s">
        <v>618</v>
      </c>
      <c r="I146" s="17"/>
      <c r="J146" s="17" t="s">
        <v>420</v>
      </c>
      <c r="K146" s="17" t="s">
        <v>404</v>
      </c>
      <c r="L146" s="19"/>
      <c r="M146" s="17" t="s">
        <v>60</v>
      </c>
      <c r="N146" s="19"/>
      <c r="O146" s="17" t="s">
        <v>54</v>
      </c>
      <c r="P146" s="17"/>
      <c r="Q146" s="28"/>
      <c r="R146" s="17" t="s">
        <v>2974</v>
      </c>
      <c r="S146" s="17"/>
      <c r="T146" s="20" t="s">
        <v>2975</v>
      </c>
      <c r="U146" s="77">
        <v>46104</v>
      </c>
      <c r="V146" s="28"/>
    </row>
    <row r="147" spans="1:23" ht="29.5" customHeight="1" x14ac:dyDescent="0.25">
      <c r="A147" s="17">
        <f>SUBTOTAL(103,B$2:B147)*1</f>
        <v>146</v>
      </c>
      <c r="B147" s="17" t="s">
        <v>292</v>
      </c>
      <c r="C147" s="18" t="s">
        <v>1941</v>
      </c>
      <c r="D147" s="18" t="s">
        <v>13</v>
      </c>
      <c r="E147" s="17" t="s">
        <v>21</v>
      </c>
      <c r="F147" s="17"/>
      <c r="G147" s="17" t="s">
        <v>22</v>
      </c>
      <c r="H147" s="17" t="s">
        <v>618</v>
      </c>
      <c r="I147" s="17"/>
      <c r="J147" s="17" t="s">
        <v>420</v>
      </c>
      <c r="K147" s="17" t="s">
        <v>404</v>
      </c>
      <c r="L147" s="19">
        <v>1800000</v>
      </c>
      <c r="M147" s="17" t="s">
        <v>211</v>
      </c>
      <c r="N147" s="19"/>
      <c r="O147" s="17">
        <v>1</v>
      </c>
      <c r="P147" s="17"/>
      <c r="Q147" s="28"/>
      <c r="R147" s="17" t="s">
        <v>474</v>
      </c>
      <c r="S147" s="17"/>
      <c r="T147" s="35" t="s">
        <v>1961</v>
      </c>
      <c r="U147" s="28">
        <v>45985</v>
      </c>
      <c r="V147" s="17"/>
    </row>
    <row r="148" spans="1:23" ht="29.5" customHeight="1" x14ac:dyDescent="0.25">
      <c r="A148" s="17">
        <f>SUBTOTAL(103,B$2:B148)*1</f>
        <v>147</v>
      </c>
      <c r="B148" s="17" t="s">
        <v>292</v>
      </c>
      <c r="C148" s="18" t="s">
        <v>2176</v>
      </c>
      <c r="D148" s="18" t="s">
        <v>90</v>
      </c>
      <c r="E148" s="17"/>
      <c r="F148" s="17"/>
      <c r="G148" s="17" t="s">
        <v>22</v>
      </c>
      <c r="H148" s="17" t="s">
        <v>618</v>
      </c>
      <c r="I148" s="17"/>
      <c r="J148" s="17" t="s">
        <v>420</v>
      </c>
      <c r="K148" s="17" t="s">
        <v>404</v>
      </c>
      <c r="L148" s="19">
        <v>400000</v>
      </c>
      <c r="M148" s="17" t="s">
        <v>211</v>
      </c>
      <c r="N148" s="19"/>
      <c r="O148" s="17">
        <v>1</v>
      </c>
      <c r="P148" s="17"/>
      <c r="Q148" s="28"/>
      <c r="R148" s="17" t="s">
        <v>474</v>
      </c>
      <c r="S148" s="17"/>
      <c r="T148" s="35"/>
      <c r="U148" s="28"/>
      <c r="V148" s="17" t="s">
        <v>2177</v>
      </c>
    </row>
    <row r="149" spans="1:23" ht="30" customHeight="1" x14ac:dyDescent="0.25">
      <c r="A149" s="17">
        <f>SUBTOTAL(103,B$2:B149)*1</f>
        <v>148</v>
      </c>
      <c r="B149" s="17" t="s">
        <v>292</v>
      </c>
      <c r="C149" s="18" t="s">
        <v>2493</v>
      </c>
      <c r="D149" s="17"/>
      <c r="E149" s="17"/>
      <c r="F149" s="17"/>
      <c r="G149" s="17" t="s">
        <v>22</v>
      </c>
      <c r="H149" s="17" t="s">
        <v>618</v>
      </c>
      <c r="I149" s="17"/>
      <c r="J149" s="17" t="s">
        <v>420</v>
      </c>
      <c r="K149" s="17" t="s">
        <v>404</v>
      </c>
      <c r="L149" s="19"/>
      <c r="M149" s="17" t="s">
        <v>342</v>
      </c>
      <c r="N149" s="19"/>
      <c r="O149" s="17">
        <v>1</v>
      </c>
      <c r="P149" s="17"/>
      <c r="Q149" s="28"/>
      <c r="R149" s="17" t="s">
        <v>2603</v>
      </c>
      <c r="S149" s="17"/>
      <c r="T149" s="20" t="s">
        <v>2527</v>
      </c>
      <c r="U149" s="28">
        <v>46020</v>
      </c>
      <c r="V149" s="17"/>
    </row>
    <row r="150" spans="1:23" ht="30" customHeight="1" x14ac:dyDescent="0.25">
      <c r="A150" s="17">
        <f>SUBTOTAL(103,B$2:B150)*1</f>
        <v>149</v>
      </c>
      <c r="B150" s="17" t="s">
        <v>292</v>
      </c>
      <c r="C150" s="18" t="s">
        <v>101</v>
      </c>
      <c r="D150" s="17" t="s">
        <v>30</v>
      </c>
      <c r="E150" s="17" t="s">
        <v>9</v>
      </c>
      <c r="F150" s="17"/>
      <c r="G150" s="17" t="s">
        <v>102</v>
      </c>
      <c r="H150" s="17" t="s">
        <v>618</v>
      </c>
      <c r="I150" s="17" t="s">
        <v>653</v>
      </c>
      <c r="J150" s="18" t="s">
        <v>421</v>
      </c>
      <c r="K150" s="17" t="s">
        <v>404</v>
      </c>
      <c r="L150" s="19"/>
      <c r="M150" s="17" t="s">
        <v>42</v>
      </c>
      <c r="N150" s="19"/>
      <c r="O150" s="17"/>
      <c r="P150" s="17"/>
      <c r="Q150" s="28"/>
      <c r="R150" s="17" t="s">
        <v>468</v>
      </c>
      <c r="S150" s="17"/>
      <c r="T150" s="20"/>
      <c r="U150" s="28"/>
      <c r="V150" s="17"/>
    </row>
    <row r="151" spans="1:23" ht="30" customHeight="1" x14ac:dyDescent="0.25">
      <c r="A151" s="17">
        <f>SUBTOTAL(103,B$2:B151)*1</f>
        <v>150</v>
      </c>
      <c r="B151" s="17" t="s">
        <v>292</v>
      </c>
      <c r="C151" s="18" t="s">
        <v>1690</v>
      </c>
      <c r="D151" s="18" t="s">
        <v>304</v>
      </c>
      <c r="E151" s="17" t="s">
        <v>21</v>
      </c>
      <c r="F151" s="17"/>
      <c r="G151" s="17" t="s">
        <v>102</v>
      </c>
      <c r="H151" s="17" t="s">
        <v>618</v>
      </c>
      <c r="I151" s="17"/>
      <c r="J151" s="17" t="s">
        <v>1701</v>
      </c>
      <c r="K151" s="17" t="s">
        <v>404</v>
      </c>
      <c r="L151" s="19"/>
      <c r="M151" s="17" t="s">
        <v>19</v>
      </c>
      <c r="N151" s="19"/>
      <c r="O151" s="17">
        <v>1</v>
      </c>
      <c r="P151" s="17"/>
      <c r="Q151" s="28"/>
      <c r="R151" s="17" t="s">
        <v>474</v>
      </c>
      <c r="S151" s="17"/>
      <c r="T151" s="35" t="s">
        <v>1709</v>
      </c>
      <c r="U151" s="28">
        <v>45957</v>
      </c>
      <c r="V151" s="17"/>
    </row>
    <row r="152" spans="1:23" ht="30" customHeight="1" x14ac:dyDescent="0.25">
      <c r="A152" s="17">
        <f>SUBTOTAL(103,B$2:B152)*1</f>
        <v>151</v>
      </c>
      <c r="B152" s="17" t="s">
        <v>292</v>
      </c>
      <c r="C152" s="18" t="s">
        <v>281</v>
      </c>
      <c r="D152" s="17" t="s">
        <v>122</v>
      </c>
      <c r="E152" s="17"/>
      <c r="F152" s="17"/>
      <c r="G152" s="17" t="s">
        <v>82</v>
      </c>
      <c r="H152" s="17" t="s">
        <v>619</v>
      </c>
      <c r="I152" s="17"/>
      <c r="J152" s="17" t="s">
        <v>282</v>
      </c>
      <c r="K152" s="17" t="s">
        <v>404</v>
      </c>
      <c r="L152" s="19"/>
      <c r="M152" s="17" t="s">
        <v>42</v>
      </c>
      <c r="N152" s="19"/>
      <c r="O152" s="17"/>
      <c r="P152" s="17"/>
      <c r="Q152" s="28"/>
      <c r="R152" s="17" t="s">
        <v>478</v>
      </c>
      <c r="S152" s="17"/>
      <c r="T152" s="20"/>
      <c r="U152" s="28"/>
      <c r="V152" s="17"/>
    </row>
    <row r="153" spans="1:23" ht="30" customHeight="1" x14ac:dyDescent="0.25">
      <c r="A153" s="17">
        <f>SUBTOTAL(103,B$2:B153)*1</f>
        <v>152</v>
      </c>
      <c r="B153" s="17" t="s">
        <v>292</v>
      </c>
      <c r="C153" s="18" t="s">
        <v>710</v>
      </c>
      <c r="D153" s="17" t="s">
        <v>9</v>
      </c>
      <c r="E153" s="17"/>
      <c r="F153" s="17"/>
      <c r="G153" s="17" t="s">
        <v>82</v>
      </c>
      <c r="H153" s="17" t="s">
        <v>619</v>
      </c>
      <c r="I153" s="17"/>
      <c r="J153" s="17" t="s">
        <v>282</v>
      </c>
      <c r="K153" s="17" t="s">
        <v>404</v>
      </c>
      <c r="L153" s="19"/>
      <c r="M153" s="17" t="s">
        <v>211</v>
      </c>
      <c r="N153" s="19"/>
      <c r="O153" s="17">
        <v>3</v>
      </c>
      <c r="P153" s="17"/>
      <c r="Q153" s="28"/>
      <c r="R153" s="17" t="s">
        <v>529</v>
      </c>
      <c r="S153" s="17"/>
      <c r="T153" s="20" t="s">
        <v>937</v>
      </c>
      <c r="U153" s="28">
        <v>45831</v>
      </c>
      <c r="V153" s="28"/>
    </row>
    <row r="154" spans="1:23" ht="30" customHeight="1" x14ac:dyDescent="0.25">
      <c r="A154" s="17">
        <f>SUBTOTAL(103,B$2:B154)*1</f>
        <v>153</v>
      </c>
      <c r="B154" s="62" t="s">
        <v>2535</v>
      </c>
      <c r="C154" s="18" t="s">
        <v>1761</v>
      </c>
      <c r="D154" s="18" t="s">
        <v>304</v>
      </c>
      <c r="E154" s="17"/>
      <c r="F154" s="17"/>
      <c r="G154" s="17" t="s">
        <v>82</v>
      </c>
      <c r="H154" s="17" t="s">
        <v>619</v>
      </c>
      <c r="I154" s="17"/>
      <c r="J154" s="17" t="s">
        <v>282</v>
      </c>
      <c r="K154" s="17" t="s">
        <v>404</v>
      </c>
      <c r="L154" s="19"/>
      <c r="M154" s="17" t="s">
        <v>300</v>
      </c>
      <c r="N154" s="19"/>
      <c r="O154" s="17">
        <v>2</v>
      </c>
      <c r="P154" s="17"/>
      <c r="Q154" s="28"/>
      <c r="R154" s="17" t="s">
        <v>474</v>
      </c>
      <c r="S154" s="17"/>
      <c r="T154" s="35" t="s">
        <v>2713</v>
      </c>
      <c r="U154" s="28">
        <v>46055</v>
      </c>
      <c r="V154" s="17"/>
    </row>
    <row r="155" spans="1:23" ht="30" customHeight="1" x14ac:dyDescent="0.25">
      <c r="A155" s="17">
        <f>SUBTOTAL(103,B$2:B155)*1</f>
        <v>154</v>
      </c>
      <c r="B155" s="17" t="s">
        <v>440</v>
      </c>
      <c r="C155" s="18" t="s">
        <v>2141</v>
      </c>
      <c r="D155" s="17" t="s">
        <v>304</v>
      </c>
      <c r="E155" s="17" t="s">
        <v>315</v>
      </c>
      <c r="F155" s="17"/>
      <c r="G155" s="17" t="s">
        <v>625</v>
      </c>
      <c r="H155" s="17" t="s">
        <v>619</v>
      </c>
      <c r="I155" s="17" t="s">
        <v>444</v>
      </c>
      <c r="J155" s="17" t="s">
        <v>462</v>
      </c>
      <c r="K155" s="17" t="s">
        <v>404</v>
      </c>
      <c r="L155" s="17"/>
      <c r="M155" s="19" t="s">
        <v>333</v>
      </c>
      <c r="N155" s="17"/>
      <c r="O155" s="17">
        <v>5</v>
      </c>
      <c r="P155" s="19"/>
      <c r="Q155" s="28"/>
      <c r="R155" s="17" t="s">
        <v>475</v>
      </c>
      <c r="S155" s="17"/>
      <c r="T155" s="20" t="s">
        <v>2140</v>
      </c>
      <c r="U155" s="28">
        <v>46013</v>
      </c>
      <c r="V155" s="28"/>
    </row>
    <row r="156" spans="1:23" ht="30" customHeight="1" x14ac:dyDescent="0.25">
      <c r="A156" s="17">
        <f>SUBTOTAL(103,B$2:B156)*1</f>
        <v>155</v>
      </c>
      <c r="B156" s="17" t="s">
        <v>440</v>
      </c>
      <c r="C156" s="18" t="s">
        <v>445</v>
      </c>
      <c r="D156" s="17" t="s">
        <v>325</v>
      </c>
      <c r="E156" s="17" t="s">
        <v>97</v>
      </c>
      <c r="F156" s="17"/>
      <c r="G156" s="17" t="s">
        <v>463</v>
      </c>
      <c r="H156" s="17" t="s">
        <v>618</v>
      </c>
      <c r="I156" s="17" t="s">
        <v>446</v>
      </c>
      <c r="J156" s="17" t="s">
        <v>469</v>
      </c>
      <c r="K156" s="17" t="s">
        <v>404</v>
      </c>
      <c r="L156" s="17"/>
      <c r="M156" s="19" t="s">
        <v>300</v>
      </c>
      <c r="N156" s="17"/>
      <c r="O156" s="19"/>
      <c r="P156" s="19"/>
      <c r="Q156" s="28"/>
      <c r="R156" s="17" t="s">
        <v>443</v>
      </c>
      <c r="S156" s="17"/>
      <c r="T156" s="20" t="s">
        <v>447</v>
      </c>
      <c r="U156" s="28">
        <v>45799</v>
      </c>
      <c r="V156" s="28" t="s">
        <v>957</v>
      </c>
      <c r="W156" s="52"/>
    </row>
    <row r="157" spans="1:23" ht="30" customHeight="1" x14ac:dyDescent="0.25">
      <c r="A157" s="17">
        <f>SUBTOTAL(103,B$2:B157)*1</f>
        <v>156</v>
      </c>
      <c r="B157" s="17" t="s">
        <v>440</v>
      </c>
      <c r="C157" s="18" t="s">
        <v>450</v>
      </c>
      <c r="D157" s="17" t="s">
        <v>325</v>
      </c>
      <c r="E157" s="17"/>
      <c r="F157" s="17"/>
      <c r="G157" s="17" t="s">
        <v>32</v>
      </c>
      <c r="H157" s="17" t="s">
        <v>619</v>
      </c>
      <c r="I157" s="17" t="s">
        <v>498</v>
      </c>
      <c r="J157" s="17" t="s">
        <v>451</v>
      </c>
      <c r="K157" s="17" t="s">
        <v>404</v>
      </c>
      <c r="L157" s="17"/>
      <c r="M157" s="19" t="s">
        <v>300</v>
      </c>
      <c r="N157" s="17"/>
      <c r="O157" s="19"/>
      <c r="P157" s="19"/>
      <c r="Q157" s="28"/>
      <c r="R157" s="17" t="s">
        <v>443</v>
      </c>
      <c r="S157" s="17"/>
      <c r="T157" s="20"/>
      <c r="U157" s="28">
        <v>45799</v>
      </c>
      <c r="V157" s="28" t="s">
        <v>850</v>
      </c>
      <c r="W157" s="52"/>
    </row>
    <row r="158" spans="1:23" ht="30" customHeight="1" x14ac:dyDescent="0.25">
      <c r="A158" s="17">
        <f>SUBTOTAL(103,B$2:B158)*1</f>
        <v>157</v>
      </c>
      <c r="B158" s="17" t="s">
        <v>292</v>
      </c>
      <c r="C158" s="18" t="s">
        <v>73</v>
      </c>
      <c r="D158" s="17" t="s">
        <v>30</v>
      </c>
      <c r="E158" s="17" t="s">
        <v>9</v>
      </c>
      <c r="F158" s="17"/>
      <c r="G158" s="17" t="s">
        <v>32</v>
      </c>
      <c r="H158" s="17" t="s">
        <v>619</v>
      </c>
      <c r="I158" s="17"/>
      <c r="J158" s="17" t="s">
        <v>413</v>
      </c>
      <c r="K158" s="17" t="s">
        <v>404</v>
      </c>
      <c r="L158" s="19"/>
      <c r="M158" s="17" t="s">
        <v>60</v>
      </c>
      <c r="N158" s="19"/>
      <c r="O158" s="17" t="s">
        <v>54</v>
      </c>
      <c r="P158" s="17"/>
      <c r="Q158" s="28"/>
      <c r="R158" s="17" t="s">
        <v>443</v>
      </c>
      <c r="S158" s="17"/>
      <c r="T158" s="20"/>
      <c r="U158" s="28"/>
      <c r="V158" s="17"/>
    </row>
    <row r="159" spans="1:23" ht="30" customHeight="1" x14ac:dyDescent="0.25">
      <c r="A159" s="17">
        <f>SUBTOTAL(103,B$2:B159)*1</f>
        <v>158</v>
      </c>
      <c r="B159" s="62" t="s">
        <v>2535</v>
      </c>
      <c r="C159" s="18" t="s">
        <v>728</v>
      </c>
      <c r="D159" s="17" t="s">
        <v>31</v>
      </c>
      <c r="E159" s="17" t="s">
        <v>57</v>
      </c>
      <c r="F159" s="17"/>
      <c r="G159" s="17" t="s">
        <v>32</v>
      </c>
      <c r="H159" s="17" t="s">
        <v>619</v>
      </c>
      <c r="I159" s="17" t="s">
        <v>498</v>
      </c>
      <c r="J159" s="17" t="s">
        <v>413</v>
      </c>
      <c r="K159" s="17" t="s">
        <v>404</v>
      </c>
      <c r="L159" s="19"/>
      <c r="M159" s="17" t="s">
        <v>342</v>
      </c>
      <c r="N159" s="19"/>
      <c r="O159" s="17">
        <v>1</v>
      </c>
      <c r="P159" s="17"/>
      <c r="Q159" s="28"/>
      <c r="R159" s="17" t="s">
        <v>2810</v>
      </c>
      <c r="S159" s="17"/>
      <c r="T159" s="35" t="s">
        <v>2809</v>
      </c>
      <c r="U159" s="28">
        <v>46090</v>
      </c>
      <c r="V159" s="28"/>
    </row>
    <row r="160" spans="1:23" ht="30" customHeight="1" x14ac:dyDescent="0.25">
      <c r="A160" s="17">
        <f>SUBTOTAL(103,B$2:B160)*1</f>
        <v>159</v>
      </c>
      <c r="B160" s="17" t="s">
        <v>292</v>
      </c>
      <c r="C160" s="18" t="s">
        <v>2094</v>
      </c>
      <c r="D160" s="17" t="s">
        <v>90</v>
      </c>
      <c r="E160" s="17"/>
      <c r="F160" s="17"/>
      <c r="G160" s="17" t="s">
        <v>25</v>
      </c>
      <c r="H160" s="17" t="s">
        <v>618</v>
      </c>
      <c r="I160" s="17"/>
      <c r="J160" s="17" t="s">
        <v>26</v>
      </c>
      <c r="K160" s="17" t="s">
        <v>404</v>
      </c>
      <c r="L160" s="19"/>
      <c r="M160" s="17" t="s">
        <v>300</v>
      </c>
      <c r="N160" s="19"/>
      <c r="O160" s="17">
        <v>2</v>
      </c>
      <c r="P160" s="17"/>
      <c r="Q160" s="28"/>
      <c r="R160" s="17" t="s">
        <v>2605</v>
      </c>
      <c r="S160" s="17"/>
      <c r="T160" s="20" t="s">
        <v>2129</v>
      </c>
      <c r="U160" s="28">
        <v>46013</v>
      </c>
      <c r="V160" s="28" t="s">
        <v>2120</v>
      </c>
    </row>
    <row r="161" spans="1:23" ht="30" customHeight="1" x14ac:dyDescent="0.25">
      <c r="A161" s="17">
        <f>SUBTOTAL(103,B$2:B161)*1</f>
        <v>160</v>
      </c>
      <c r="B161" s="17" t="s">
        <v>292</v>
      </c>
      <c r="C161" s="18" t="s">
        <v>130</v>
      </c>
      <c r="D161" s="17" t="s">
        <v>90</v>
      </c>
      <c r="E161" s="17" t="s">
        <v>97</v>
      </c>
      <c r="F161" s="17" t="s">
        <v>131</v>
      </c>
      <c r="G161" s="17" t="s">
        <v>203</v>
      </c>
      <c r="H161" s="17" t="s">
        <v>618</v>
      </c>
      <c r="I161" s="17" t="s">
        <v>505</v>
      </c>
      <c r="J161" s="17" t="s">
        <v>132</v>
      </c>
      <c r="K161" s="17" t="s">
        <v>404</v>
      </c>
      <c r="L161" s="19">
        <v>500000</v>
      </c>
      <c r="M161" s="17" t="s">
        <v>337</v>
      </c>
      <c r="N161" s="19"/>
      <c r="O161" s="17">
        <v>3</v>
      </c>
      <c r="P161" s="17"/>
      <c r="Q161" s="28"/>
      <c r="R161" s="17" t="s">
        <v>474</v>
      </c>
      <c r="S161" s="17"/>
      <c r="T161" s="20" t="s">
        <v>928</v>
      </c>
      <c r="U161" s="28">
        <v>45831</v>
      </c>
      <c r="V161" s="28" t="s">
        <v>862</v>
      </c>
      <c r="W161" s="52"/>
    </row>
    <row r="162" spans="1:23" ht="30" customHeight="1" x14ac:dyDescent="0.25">
      <c r="A162" s="17">
        <f>SUBTOTAL(103,B$2:B162)*1</f>
        <v>161</v>
      </c>
      <c r="B162" s="17" t="s">
        <v>292</v>
      </c>
      <c r="C162" s="18" t="s">
        <v>575</v>
      </c>
      <c r="D162" s="17" t="s">
        <v>31</v>
      </c>
      <c r="E162" s="17" t="s">
        <v>355</v>
      </c>
      <c r="F162" s="17" t="s">
        <v>540</v>
      </c>
      <c r="G162" s="17" t="s">
        <v>48</v>
      </c>
      <c r="H162" s="17" t="s">
        <v>618</v>
      </c>
      <c r="I162" s="17" t="s">
        <v>586</v>
      </c>
      <c r="J162" s="17" t="s">
        <v>200</v>
      </c>
      <c r="K162" s="17" t="s">
        <v>404</v>
      </c>
      <c r="L162" s="19">
        <v>8300000</v>
      </c>
      <c r="M162" s="17" t="s">
        <v>333</v>
      </c>
      <c r="N162" s="19"/>
      <c r="O162" s="17" t="s">
        <v>54</v>
      </c>
      <c r="P162" s="17"/>
      <c r="Q162" s="28"/>
      <c r="R162" s="17" t="s">
        <v>529</v>
      </c>
      <c r="S162" s="17"/>
      <c r="T162" s="20"/>
      <c r="U162" s="28">
        <v>45929</v>
      </c>
      <c r="V162" s="28"/>
    </row>
    <row r="163" spans="1:23" ht="30" customHeight="1" x14ac:dyDescent="0.25">
      <c r="A163" s="17">
        <f>SUBTOTAL(103,B$2:B163)*1</f>
        <v>162</v>
      </c>
      <c r="B163" s="17" t="s">
        <v>292</v>
      </c>
      <c r="C163" s="18" t="s">
        <v>1040</v>
      </c>
      <c r="D163" s="18" t="s">
        <v>325</v>
      </c>
      <c r="E163" s="17"/>
      <c r="F163" s="17"/>
      <c r="G163" s="17" t="s">
        <v>48</v>
      </c>
      <c r="H163" s="17" t="s">
        <v>618</v>
      </c>
      <c r="I163" s="17"/>
      <c r="J163" s="17" t="s">
        <v>200</v>
      </c>
      <c r="K163" s="17" t="s">
        <v>404</v>
      </c>
      <c r="L163" s="19"/>
      <c r="M163" s="17" t="s">
        <v>333</v>
      </c>
      <c r="N163" s="19"/>
      <c r="O163" s="17">
        <v>4</v>
      </c>
      <c r="P163" s="17"/>
      <c r="Q163" s="28"/>
      <c r="R163" s="17" t="s">
        <v>474</v>
      </c>
      <c r="S163" s="17"/>
      <c r="T163" s="35" t="s">
        <v>1572</v>
      </c>
      <c r="U163" s="28">
        <v>45929</v>
      </c>
      <c r="V163" s="28"/>
    </row>
    <row r="164" spans="1:23" ht="30" customHeight="1" x14ac:dyDescent="0.25">
      <c r="A164" s="17">
        <f>SUBTOTAL(103,B$2:B164)*1</f>
        <v>163</v>
      </c>
      <c r="B164" s="17" t="s">
        <v>440</v>
      </c>
      <c r="C164" s="18" t="s">
        <v>455</v>
      </c>
      <c r="D164" s="17" t="s">
        <v>298</v>
      </c>
      <c r="E164" s="17"/>
      <c r="F164" s="17"/>
      <c r="G164" s="17" t="s">
        <v>466</v>
      </c>
      <c r="H164" s="17" t="s">
        <v>618</v>
      </c>
      <c r="I164" s="17" t="s">
        <v>456</v>
      </c>
      <c r="J164" s="17" t="s">
        <v>472</v>
      </c>
      <c r="K164" s="17" t="s">
        <v>404</v>
      </c>
      <c r="L164" s="19">
        <v>1200000</v>
      </c>
      <c r="M164" s="19" t="s">
        <v>300</v>
      </c>
      <c r="N164" s="17"/>
      <c r="O164" s="17">
        <v>1</v>
      </c>
      <c r="P164" s="19"/>
      <c r="Q164" s="28"/>
      <c r="R164" s="17" t="s">
        <v>443</v>
      </c>
      <c r="S164" s="17"/>
      <c r="T164" s="20" t="s">
        <v>1028</v>
      </c>
      <c r="U164" s="28">
        <v>45845</v>
      </c>
      <c r="V164" s="28"/>
    </row>
    <row r="165" spans="1:23" ht="24.5" customHeight="1" x14ac:dyDescent="0.25">
      <c r="A165" s="17">
        <f>SUBTOTAL(103,B$2:B165)*1</f>
        <v>164</v>
      </c>
      <c r="B165" s="17" t="s">
        <v>292</v>
      </c>
      <c r="C165" s="18" t="s">
        <v>1981</v>
      </c>
      <c r="D165" s="18" t="s">
        <v>325</v>
      </c>
      <c r="E165" s="17"/>
      <c r="F165" s="17"/>
      <c r="G165" s="17" t="s">
        <v>190</v>
      </c>
      <c r="H165" s="17" t="s">
        <v>618</v>
      </c>
      <c r="I165" s="17"/>
      <c r="J165" s="17" t="s">
        <v>472</v>
      </c>
      <c r="K165" s="17" t="s">
        <v>404</v>
      </c>
      <c r="L165" s="19"/>
      <c r="M165" s="17" t="s">
        <v>211</v>
      </c>
      <c r="N165" s="19"/>
      <c r="O165" s="17">
        <v>1</v>
      </c>
      <c r="P165" s="17"/>
      <c r="Q165" s="28"/>
      <c r="R165" s="17" t="s">
        <v>474</v>
      </c>
      <c r="S165" s="17"/>
      <c r="T165" s="35" t="s">
        <v>2020</v>
      </c>
      <c r="U165" s="28">
        <v>45992</v>
      </c>
      <c r="V165" s="17" t="s">
        <v>2122</v>
      </c>
    </row>
    <row r="166" spans="1:23" ht="30" customHeight="1" x14ac:dyDescent="0.25">
      <c r="A166" s="17">
        <f>SUBTOTAL(103,B$2:B166)*1</f>
        <v>165</v>
      </c>
      <c r="B166" s="62" t="s">
        <v>2535</v>
      </c>
      <c r="C166" s="18" t="s">
        <v>112</v>
      </c>
      <c r="D166" s="17" t="s">
        <v>90</v>
      </c>
      <c r="E166" s="17" t="s">
        <v>97</v>
      </c>
      <c r="F166" s="17" t="s">
        <v>111</v>
      </c>
      <c r="G166" s="17" t="s">
        <v>36</v>
      </c>
      <c r="H166" s="17" t="s">
        <v>620</v>
      </c>
      <c r="I166" s="17" t="s">
        <v>506</v>
      </c>
      <c r="J166" s="17" t="s">
        <v>425</v>
      </c>
      <c r="K166" s="17" t="s">
        <v>404</v>
      </c>
      <c r="L166" s="19">
        <v>400000</v>
      </c>
      <c r="M166" s="17" t="s">
        <v>333</v>
      </c>
      <c r="N166" s="19"/>
      <c r="O166" s="17">
        <v>8</v>
      </c>
      <c r="P166" s="17"/>
      <c r="Q166" s="28"/>
      <c r="R166" s="17" t="s">
        <v>2897</v>
      </c>
      <c r="S166" s="17"/>
      <c r="T166" s="20" t="s">
        <v>2896</v>
      </c>
      <c r="U166" s="77">
        <v>46104</v>
      </c>
      <c r="V166" s="28" t="s">
        <v>863</v>
      </c>
      <c r="W166" s="52"/>
    </row>
    <row r="167" spans="1:23" ht="63" customHeight="1" x14ac:dyDescent="0.25">
      <c r="A167" s="17">
        <f>SUBTOTAL(103,B$2:B167)*1</f>
        <v>166</v>
      </c>
      <c r="B167" s="17" t="s">
        <v>393</v>
      </c>
      <c r="C167" s="18" t="s">
        <v>398</v>
      </c>
      <c r="D167" s="17" t="s">
        <v>1287</v>
      </c>
      <c r="E167" s="17"/>
      <c r="F167" s="17"/>
      <c r="G167" s="17" t="s">
        <v>65</v>
      </c>
      <c r="H167" s="17" t="s">
        <v>620</v>
      </c>
      <c r="I167" s="17" t="s">
        <v>385</v>
      </c>
      <c r="J167" s="17" t="s">
        <v>64</v>
      </c>
      <c r="K167" s="17" t="s">
        <v>404</v>
      </c>
      <c r="L167" s="19">
        <v>16000000</v>
      </c>
      <c r="M167" s="17" t="s">
        <v>53</v>
      </c>
      <c r="N167" s="19"/>
      <c r="O167" s="17" t="s">
        <v>54</v>
      </c>
      <c r="P167" s="17"/>
      <c r="Q167" s="28"/>
      <c r="R167" s="17" t="s">
        <v>386</v>
      </c>
      <c r="S167" s="17"/>
      <c r="T167" s="20" t="s">
        <v>389</v>
      </c>
      <c r="U167" s="28">
        <v>45799</v>
      </c>
      <c r="V167" s="28"/>
    </row>
    <row r="168" spans="1:23" ht="30" customHeight="1" x14ac:dyDescent="0.25">
      <c r="A168" s="17">
        <f>SUBTOTAL(103,B$2:B168)*1</f>
        <v>167</v>
      </c>
      <c r="B168" s="62" t="s">
        <v>2535</v>
      </c>
      <c r="C168" s="18" t="s">
        <v>127</v>
      </c>
      <c r="D168" s="17" t="s">
        <v>90</v>
      </c>
      <c r="E168" s="17" t="s">
        <v>97</v>
      </c>
      <c r="F168" s="17" t="s">
        <v>111</v>
      </c>
      <c r="G168" s="17" t="s">
        <v>65</v>
      </c>
      <c r="H168" s="17" t="s">
        <v>620</v>
      </c>
      <c r="I168" s="17"/>
      <c r="J168" s="17" t="s">
        <v>64</v>
      </c>
      <c r="K168" s="17" t="s">
        <v>404</v>
      </c>
      <c r="L168" s="19"/>
      <c r="M168" s="17" t="s">
        <v>19</v>
      </c>
      <c r="N168" s="19"/>
      <c r="O168" s="17">
        <v>2</v>
      </c>
      <c r="P168" s="17"/>
      <c r="Q168" s="28"/>
      <c r="R168" s="17" t="s">
        <v>474</v>
      </c>
      <c r="S168" s="17"/>
      <c r="T168" s="20" t="s">
        <v>2513</v>
      </c>
      <c r="U168" s="28">
        <v>46026</v>
      </c>
      <c r="V168" s="17" t="s">
        <v>851</v>
      </c>
      <c r="W168" s="52"/>
    </row>
    <row r="169" spans="1:23" ht="30" customHeight="1" x14ac:dyDescent="0.25">
      <c r="A169" s="17">
        <f>SUBTOTAL(103,B$2:B169)*1</f>
        <v>168</v>
      </c>
      <c r="B169" s="17" t="s">
        <v>292</v>
      </c>
      <c r="C169" s="18" t="s">
        <v>1125</v>
      </c>
      <c r="D169" s="17" t="s">
        <v>31</v>
      </c>
      <c r="E169" s="17" t="s">
        <v>57</v>
      </c>
      <c r="F169" s="17"/>
      <c r="G169" s="17" t="s">
        <v>65</v>
      </c>
      <c r="H169" s="17" t="s">
        <v>620</v>
      </c>
      <c r="I169" s="17" t="s">
        <v>1245</v>
      </c>
      <c r="J169" s="17" t="s">
        <v>64</v>
      </c>
      <c r="K169" s="17" t="s">
        <v>404</v>
      </c>
      <c r="L169" s="19"/>
      <c r="M169" s="17" t="s">
        <v>60</v>
      </c>
      <c r="N169" s="19"/>
      <c r="O169" s="17" t="s">
        <v>54</v>
      </c>
      <c r="P169" s="17"/>
      <c r="Q169" s="28"/>
      <c r="R169" s="17" t="s">
        <v>529</v>
      </c>
      <c r="S169" s="17"/>
      <c r="T169" s="20" t="s">
        <v>1797</v>
      </c>
      <c r="U169" s="28">
        <v>45971</v>
      </c>
      <c r="V169" s="28"/>
    </row>
    <row r="170" spans="1:23" ht="30" customHeight="1" x14ac:dyDescent="0.25">
      <c r="A170" s="17">
        <f>SUBTOTAL(103,B$2:B170)*1</f>
        <v>169</v>
      </c>
      <c r="B170" s="17" t="s">
        <v>292</v>
      </c>
      <c r="C170" s="18" t="s">
        <v>123</v>
      </c>
      <c r="D170" s="17" t="s">
        <v>124</v>
      </c>
      <c r="E170" s="17"/>
      <c r="F170" s="17"/>
      <c r="G170" s="17" t="s">
        <v>65</v>
      </c>
      <c r="H170" s="17" t="s">
        <v>620</v>
      </c>
      <c r="I170" s="17"/>
      <c r="J170" s="17" t="s">
        <v>64</v>
      </c>
      <c r="K170" s="17" t="s">
        <v>404</v>
      </c>
      <c r="L170" s="19"/>
      <c r="M170" s="17" t="s">
        <v>19</v>
      </c>
      <c r="N170" s="19"/>
      <c r="O170" s="17"/>
      <c r="P170" s="17"/>
      <c r="Q170" s="28"/>
      <c r="R170" s="17" t="s">
        <v>529</v>
      </c>
      <c r="S170" s="17"/>
      <c r="T170" s="20"/>
      <c r="U170" s="28"/>
      <c r="V170" s="17"/>
    </row>
    <row r="171" spans="1:23" ht="90" x14ac:dyDescent="0.25">
      <c r="A171" s="17">
        <f>SUBTOTAL(103,B$2:B171)*1</f>
        <v>170</v>
      </c>
      <c r="B171" s="17" t="s">
        <v>393</v>
      </c>
      <c r="C171" s="18" t="s">
        <v>558</v>
      </c>
      <c r="D171" s="17" t="s">
        <v>9</v>
      </c>
      <c r="E171" s="17" t="s">
        <v>321</v>
      </c>
      <c r="F171" s="17" t="s">
        <v>298</v>
      </c>
      <c r="G171" s="17" t="s">
        <v>91</v>
      </c>
      <c r="H171" s="17" t="s">
        <v>618</v>
      </c>
      <c r="I171" s="17" t="s">
        <v>538</v>
      </c>
      <c r="J171" s="17" t="s">
        <v>559</v>
      </c>
      <c r="K171" s="17" t="s">
        <v>404</v>
      </c>
      <c r="L171" s="19">
        <v>6000000</v>
      </c>
      <c r="M171" s="17" t="s">
        <v>53</v>
      </c>
      <c r="N171" s="19"/>
      <c r="O171" s="17" t="s">
        <v>54</v>
      </c>
      <c r="P171" s="17"/>
      <c r="Q171" s="28"/>
      <c r="R171" s="17" t="s">
        <v>536</v>
      </c>
      <c r="S171" s="17"/>
      <c r="T171" s="20" t="s">
        <v>539</v>
      </c>
      <c r="U171" s="28">
        <v>45799</v>
      </c>
      <c r="V171" s="28"/>
    </row>
    <row r="172" spans="1:23" ht="30" x14ac:dyDescent="0.25">
      <c r="A172" s="17">
        <f>SUBTOTAL(103,B$2:B172)*1</f>
        <v>171</v>
      </c>
      <c r="B172" s="17" t="s">
        <v>393</v>
      </c>
      <c r="C172" s="18" t="s">
        <v>560</v>
      </c>
      <c r="D172" s="17" t="s">
        <v>9</v>
      </c>
      <c r="E172" s="17" t="s">
        <v>355</v>
      </c>
      <c r="F172" s="17" t="s">
        <v>540</v>
      </c>
      <c r="G172" s="17" t="s">
        <v>561</v>
      </c>
      <c r="H172" s="17" t="s">
        <v>620</v>
      </c>
      <c r="I172" s="17" t="s">
        <v>541</v>
      </c>
      <c r="J172" s="17" t="s">
        <v>562</v>
      </c>
      <c r="K172" s="17" t="s">
        <v>563</v>
      </c>
      <c r="L172" s="19"/>
      <c r="M172" s="17" t="s">
        <v>42</v>
      </c>
      <c r="N172" s="19"/>
      <c r="O172" s="17" t="s">
        <v>399</v>
      </c>
      <c r="P172" s="17"/>
      <c r="Q172" s="28"/>
      <c r="R172" s="17" t="s">
        <v>536</v>
      </c>
      <c r="S172" s="17"/>
      <c r="T172" s="20" t="s">
        <v>542</v>
      </c>
      <c r="U172" s="28">
        <v>45799</v>
      </c>
      <c r="V172" s="28"/>
    </row>
    <row r="173" spans="1:23" ht="30" x14ac:dyDescent="0.25">
      <c r="A173" s="17">
        <f>SUBTOTAL(103,B$2:B173)*1</f>
        <v>172</v>
      </c>
      <c r="B173" s="17" t="s">
        <v>393</v>
      </c>
      <c r="C173" s="18" t="s">
        <v>567</v>
      </c>
      <c r="D173" s="17" t="s">
        <v>31</v>
      </c>
      <c r="E173" s="17" t="s">
        <v>355</v>
      </c>
      <c r="F173" s="17" t="s">
        <v>298</v>
      </c>
      <c r="G173" s="17" t="s">
        <v>84</v>
      </c>
      <c r="H173" s="17" t="s">
        <v>618</v>
      </c>
      <c r="I173" s="17" t="s">
        <v>545</v>
      </c>
      <c r="J173" s="17" t="s">
        <v>568</v>
      </c>
      <c r="K173" s="17" t="s">
        <v>404</v>
      </c>
      <c r="L173" s="19">
        <v>3500000</v>
      </c>
      <c r="M173" s="17" t="s">
        <v>19</v>
      </c>
      <c r="N173" s="19"/>
      <c r="O173" s="17" t="s">
        <v>399</v>
      </c>
      <c r="P173" s="17"/>
      <c r="Q173" s="28"/>
      <c r="R173" s="17" t="s">
        <v>536</v>
      </c>
      <c r="S173" s="17"/>
      <c r="T173" s="20" t="s">
        <v>544</v>
      </c>
      <c r="U173" s="28">
        <v>45799</v>
      </c>
      <c r="V173" s="28"/>
    </row>
    <row r="174" spans="1:23" ht="30" x14ac:dyDescent="0.25">
      <c r="A174" s="17">
        <f>SUBTOTAL(103,B$2:B174)*1</f>
        <v>173</v>
      </c>
      <c r="B174" s="17" t="s">
        <v>393</v>
      </c>
      <c r="C174" s="18" t="s">
        <v>569</v>
      </c>
      <c r="D174" s="17" t="s">
        <v>9</v>
      </c>
      <c r="E174" s="17" t="s">
        <v>355</v>
      </c>
      <c r="F174" s="17" t="s">
        <v>540</v>
      </c>
      <c r="G174" s="17" t="s">
        <v>561</v>
      </c>
      <c r="H174" s="17" t="s">
        <v>620</v>
      </c>
      <c r="I174" s="17" t="s">
        <v>546</v>
      </c>
      <c r="J174" s="17" t="s">
        <v>570</v>
      </c>
      <c r="K174" s="17" t="s">
        <v>404</v>
      </c>
      <c r="L174" s="19">
        <v>4000000</v>
      </c>
      <c r="M174" s="17" t="s">
        <v>42</v>
      </c>
      <c r="N174" s="19"/>
      <c r="O174" s="17" t="s">
        <v>399</v>
      </c>
      <c r="P174" s="17"/>
      <c r="Q174" s="28"/>
      <c r="R174" s="17" t="s">
        <v>536</v>
      </c>
      <c r="S174" s="17"/>
      <c r="T174" s="20" t="s">
        <v>547</v>
      </c>
      <c r="U174" s="28">
        <v>45799</v>
      </c>
      <c r="V174" s="28"/>
    </row>
    <row r="175" spans="1:23" ht="45" x14ac:dyDescent="0.25">
      <c r="A175" s="17">
        <f>SUBTOTAL(103,B$2:B175)*1</f>
        <v>174</v>
      </c>
      <c r="B175" s="17" t="s">
        <v>393</v>
      </c>
      <c r="C175" s="18" t="s">
        <v>571</v>
      </c>
      <c r="D175" s="17" t="s">
        <v>78</v>
      </c>
      <c r="E175" s="17" t="s">
        <v>10</v>
      </c>
      <c r="F175" s="17" t="s">
        <v>540</v>
      </c>
      <c r="G175" s="17" t="s">
        <v>82</v>
      </c>
      <c r="H175" s="17" t="s">
        <v>619</v>
      </c>
      <c r="I175" s="17" t="s">
        <v>548</v>
      </c>
      <c r="J175" s="17" t="s">
        <v>572</v>
      </c>
      <c r="K175" s="17" t="s">
        <v>406</v>
      </c>
      <c r="L175" s="19">
        <v>1000000</v>
      </c>
      <c r="M175" s="17" t="s">
        <v>27</v>
      </c>
      <c r="N175" s="19"/>
      <c r="O175" s="17" t="s">
        <v>396</v>
      </c>
      <c r="P175" s="17"/>
      <c r="Q175" s="28"/>
      <c r="R175" s="17" t="s">
        <v>536</v>
      </c>
      <c r="S175" s="17"/>
      <c r="T175" s="20" t="s">
        <v>549</v>
      </c>
      <c r="U175" s="28">
        <v>45799</v>
      </c>
      <c r="V175" s="28"/>
    </row>
    <row r="176" spans="1:23" ht="30" customHeight="1" x14ac:dyDescent="0.25">
      <c r="A176" s="17">
        <f>SUBTOTAL(103,B$2:B176)*1</f>
        <v>175</v>
      </c>
      <c r="B176" s="17" t="s">
        <v>393</v>
      </c>
      <c r="C176" s="18" t="s">
        <v>573</v>
      </c>
      <c r="D176" s="17" t="s">
        <v>31</v>
      </c>
      <c r="E176" s="17" t="s">
        <v>355</v>
      </c>
      <c r="F176" s="17" t="s">
        <v>540</v>
      </c>
      <c r="G176" s="17" t="s">
        <v>25</v>
      </c>
      <c r="H176" s="17" t="s">
        <v>618</v>
      </c>
      <c r="I176" s="17" t="s">
        <v>550</v>
      </c>
      <c r="J176" s="17" t="s">
        <v>574</v>
      </c>
      <c r="K176" s="17" t="s">
        <v>404</v>
      </c>
      <c r="L176" s="19">
        <v>2500000</v>
      </c>
      <c r="M176" s="17" t="s">
        <v>19</v>
      </c>
      <c r="N176" s="19"/>
      <c r="O176" s="17" t="s">
        <v>399</v>
      </c>
      <c r="P176" s="17"/>
      <c r="Q176" s="28"/>
      <c r="R176" s="17" t="s">
        <v>536</v>
      </c>
      <c r="S176" s="17"/>
      <c r="T176" s="20" t="s">
        <v>551</v>
      </c>
      <c r="U176" s="28">
        <v>45799</v>
      </c>
      <c r="V176" s="28"/>
    </row>
    <row r="177" spans="1:23" ht="30" customHeight="1" x14ac:dyDescent="0.25">
      <c r="A177" s="17">
        <f>SUBTOTAL(103,B$2:B177)*1</f>
        <v>176</v>
      </c>
      <c r="B177" s="17" t="s">
        <v>393</v>
      </c>
      <c r="C177" s="18" t="s">
        <v>576</v>
      </c>
      <c r="D177" s="17" t="s">
        <v>78</v>
      </c>
      <c r="E177" s="17" t="s">
        <v>355</v>
      </c>
      <c r="F177" s="17" t="s">
        <v>298</v>
      </c>
      <c r="G177" s="17" t="s">
        <v>577</v>
      </c>
      <c r="H177" s="17" t="s">
        <v>620</v>
      </c>
      <c r="I177" s="17" t="s">
        <v>552</v>
      </c>
      <c r="J177" s="17" t="s">
        <v>578</v>
      </c>
      <c r="K177" s="17" t="s">
        <v>406</v>
      </c>
      <c r="L177" s="19">
        <v>1000000</v>
      </c>
      <c r="M177" s="17" t="s">
        <v>19</v>
      </c>
      <c r="N177" s="19"/>
      <c r="O177" s="17" t="s">
        <v>399</v>
      </c>
      <c r="P177" s="17"/>
      <c r="Q177" s="28"/>
      <c r="R177" s="17" t="s">
        <v>536</v>
      </c>
      <c r="S177" s="17"/>
      <c r="T177" s="20" t="s">
        <v>553</v>
      </c>
      <c r="U177" s="28">
        <v>45799</v>
      </c>
      <c r="V177" s="28"/>
    </row>
    <row r="178" spans="1:23" ht="30" customHeight="1" x14ac:dyDescent="0.25">
      <c r="A178" s="17">
        <f>SUBTOTAL(103,B$2:B178)*1</f>
        <v>177</v>
      </c>
      <c r="B178" s="17" t="s">
        <v>393</v>
      </c>
      <c r="C178" s="18" t="s">
        <v>579</v>
      </c>
      <c r="D178" s="17" t="s">
        <v>31</v>
      </c>
      <c r="E178" s="17" t="s">
        <v>355</v>
      </c>
      <c r="F178" s="17" t="s">
        <v>540</v>
      </c>
      <c r="G178" s="17" t="s">
        <v>580</v>
      </c>
      <c r="H178" s="17" t="s">
        <v>618</v>
      </c>
      <c r="I178" s="17" t="s">
        <v>554</v>
      </c>
      <c r="J178" s="17" t="s">
        <v>581</v>
      </c>
      <c r="K178" s="17" t="s">
        <v>404</v>
      </c>
      <c r="L178" s="19">
        <v>15000000</v>
      </c>
      <c r="M178" s="17" t="s">
        <v>19</v>
      </c>
      <c r="N178" s="19"/>
      <c r="O178" s="17" t="s">
        <v>399</v>
      </c>
      <c r="P178" s="17"/>
      <c r="Q178" s="28"/>
      <c r="R178" s="17" t="s">
        <v>536</v>
      </c>
      <c r="S178" s="17"/>
      <c r="T178" s="20" t="s">
        <v>555</v>
      </c>
      <c r="U178" s="28">
        <v>45799</v>
      </c>
      <c r="V178" s="28"/>
    </row>
    <row r="179" spans="1:23" ht="30" customHeight="1" x14ac:dyDescent="0.25">
      <c r="A179" s="17">
        <f>SUBTOTAL(103,B$2:B179)*1</f>
        <v>178</v>
      </c>
      <c r="B179" s="17" t="s">
        <v>393</v>
      </c>
      <c r="C179" s="18" t="s">
        <v>582</v>
      </c>
      <c r="D179" s="17" t="s">
        <v>31</v>
      </c>
      <c r="E179" s="17" t="s">
        <v>355</v>
      </c>
      <c r="F179" s="17" t="s">
        <v>540</v>
      </c>
      <c r="G179" s="17" t="s">
        <v>583</v>
      </c>
      <c r="H179" s="17" t="s">
        <v>620</v>
      </c>
      <c r="I179" s="17" t="s">
        <v>556</v>
      </c>
      <c r="J179" s="17" t="s">
        <v>584</v>
      </c>
      <c r="K179" s="17" t="s">
        <v>404</v>
      </c>
      <c r="L179" s="19">
        <v>10000000</v>
      </c>
      <c r="M179" s="17" t="s">
        <v>211</v>
      </c>
      <c r="N179" s="19"/>
      <c r="O179" s="17" t="s">
        <v>54</v>
      </c>
      <c r="P179" s="17"/>
      <c r="Q179" s="28"/>
      <c r="R179" s="17" t="s">
        <v>536</v>
      </c>
      <c r="S179" s="17"/>
      <c r="T179" s="20" t="s">
        <v>557</v>
      </c>
      <c r="U179" s="28">
        <v>45799</v>
      </c>
      <c r="V179" s="28"/>
    </row>
    <row r="180" spans="1:23" ht="30" customHeight="1" x14ac:dyDescent="0.25">
      <c r="A180" s="17">
        <f>SUBTOTAL(103,B$2:B180)*1</f>
        <v>179</v>
      </c>
      <c r="B180" s="17" t="s">
        <v>393</v>
      </c>
      <c r="C180" s="18" t="s">
        <v>599</v>
      </c>
      <c r="D180" s="17" t="s">
        <v>9</v>
      </c>
      <c r="E180" s="17"/>
      <c r="F180" s="17"/>
      <c r="G180" s="17" t="s">
        <v>203</v>
      </c>
      <c r="H180" s="17" t="s">
        <v>618</v>
      </c>
      <c r="I180" s="17" t="s">
        <v>588</v>
      </c>
      <c r="J180" s="17" t="s">
        <v>600</v>
      </c>
      <c r="K180" s="17" t="s">
        <v>615</v>
      </c>
      <c r="L180" s="19">
        <v>21168780</v>
      </c>
      <c r="M180" s="17" t="s">
        <v>53</v>
      </c>
      <c r="N180" s="19"/>
      <c r="O180" s="17" t="s">
        <v>396</v>
      </c>
      <c r="P180" s="17"/>
      <c r="Q180" s="28"/>
      <c r="R180" s="17" t="s">
        <v>2606</v>
      </c>
      <c r="S180" s="17"/>
      <c r="T180" s="20" t="s">
        <v>589</v>
      </c>
      <c r="U180" s="28">
        <v>45799</v>
      </c>
      <c r="V180" s="28"/>
    </row>
    <row r="181" spans="1:23" ht="30" customHeight="1" x14ac:dyDescent="0.25">
      <c r="A181" s="17">
        <f>SUBTOTAL(103,B$2:B181)*1</f>
        <v>180</v>
      </c>
      <c r="B181" s="17" t="s">
        <v>393</v>
      </c>
      <c r="C181" s="18" t="s">
        <v>601</v>
      </c>
      <c r="D181" s="17" t="s">
        <v>9</v>
      </c>
      <c r="E181" s="17"/>
      <c r="F181" s="17"/>
      <c r="G181" s="17" t="s">
        <v>602</v>
      </c>
      <c r="H181" s="17" t="s">
        <v>618</v>
      </c>
      <c r="I181" s="17" t="s">
        <v>590</v>
      </c>
      <c r="J181" s="17" t="s">
        <v>603</v>
      </c>
      <c r="K181" s="17" t="s">
        <v>408</v>
      </c>
      <c r="L181" s="19">
        <v>20000000</v>
      </c>
      <c r="M181" s="17" t="s">
        <v>53</v>
      </c>
      <c r="N181" s="19"/>
      <c r="O181" s="17" t="s">
        <v>396</v>
      </c>
      <c r="P181" s="17"/>
      <c r="Q181" s="28"/>
      <c r="R181" s="17" t="s">
        <v>535</v>
      </c>
      <c r="S181" s="17"/>
      <c r="T181" s="20" t="s">
        <v>591</v>
      </c>
      <c r="U181" s="28">
        <v>45799</v>
      </c>
      <c r="V181" s="28"/>
    </row>
    <row r="182" spans="1:23" ht="45" x14ac:dyDescent="0.25">
      <c r="A182" s="17">
        <f>SUBTOTAL(103,B$2:B182)*1</f>
        <v>181</v>
      </c>
      <c r="B182" s="17" t="s">
        <v>393</v>
      </c>
      <c r="C182" s="18" t="s">
        <v>604</v>
      </c>
      <c r="D182" s="17" t="s">
        <v>9</v>
      </c>
      <c r="E182" s="17"/>
      <c r="F182" s="17"/>
      <c r="G182" s="17" t="s">
        <v>91</v>
      </c>
      <c r="H182" s="17" t="s">
        <v>618</v>
      </c>
      <c r="I182" s="17" t="s">
        <v>592</v>
      </c>
      <c r="J182" s="17" t="s">
        <v>605</v>
      </c>
      <c r="K182" s="17" t="s">
        <v>404</v>
      </c>
      <c r="L182" s="19">
        <v>10000000</v>
      </c>
      <c r="M182" s="17" t="s">
        <v>300</v>
      </c>
      <c r="N182" s="19"/>
      <c r="O182" s="17">
        <v>3</v>
      </c>
      <c r="P182" s="17"/>
      <c r="Q182" s="28"/>
      <c r="R182" s="17" t="s">
        <v>2636</v>
      </c>
      <c r="S182" s="17"/>
      <c r="T182" s="20" t="s">
        <v>2733</v>
      </c>
      <c r="U182" s="28">
        <v>46055</v>
      </c>
      <c r="V182" s="28"/>
    </row>
    <row r="183" spans="1:23" ht="30" customHeight="1" x14ac:dyDescent="0.25">
      <c r="A183" s="17">
        <f>SUBTOTAL(103,B$2:B183)*1</f>
        <v>182</v>
      </c>
      <c r="B183" s="17" t="s">
        <v>393</v>
      </c>
      <c r="C183" s="18" t="s">
        <v>609</v>
      </c>
      <c r="D183" s="17" t="s">
        <v>13</v>
      </c>
      <c r="E183" s="17"/>
      <c r="F183" s="17"/>
      <c r="G183" s="17" t="s">
        <v>621</v>
      </c>
      <c r="H183" s="17" t="s">
        <v>618</v>
      </c>
      <c r="I183" s="17" t="s">
        <v>594</v>
      </c>
      <c r="J183" s="17" t="s">
        <v>610</v>
      </c>
      <c r="K183" s="17" t="s">
        <v>404</v>
      </c>
      <c r="L183" s="19">
        <v>10000000</v>
      </c>
      <c r="M183" s="17" t="s">
        <v>53</v>
      </c>
      <c r="N183" s="19"/>
      <c r="O183" s="17" t="s">
        <v>399</v>
      </c>
      <c r="P183" s="17"/>
      <c r="Q183" s="28"/>
      <c r="R183" s="17" t="s">
        <v>2606</v>
      </c>
      <c r="S183" s="17"/>
      <c r="T183" s="20" t="s">
        <v>595</v>
      </c>
      <c r="U183" s="28">
        <v>45799</v>
      </c>
      <c r="V183" s="28"/>
    </row>
    <row r="184" spans="1:23" ht="30" customHeight="1" x14ac:dyDescent="0.25">
      <c r="A184" s="17">
        <f>SUBTOTAL(103,B$2:B184)*1</f>
        <v>183</v>
      </c>
      <c r="B184" s="17" t="s">
        <v>393</v>
      </c>
      <c r="C184" s="18" t="s">
        <v>611</v>
      </c>
      <c r="D184" s="17" t="s">
        <v>13</v>
      </c>
      <c r="E184" s="17"/>
      <c r="F184" s="17"/>
      <c r="G184" s="17" t="s">
        <v>63</v>
      </c>
      <c r="H184" s="17" t="s">
        <v>619</v>
      </c>
      <c r="I184" s="17" t="s">
        <v>596</v>
      </c>
      <c r="J184" s="17" t="s">
        <v>612</v>
      </c>
      <c r="K184" s="17" t="s">
        <v>404</v>
      </c>
      <c r="L184" s="19">
        <v>2000000</v>
      </c>
      <c r="M184" s="17" t="s">
        <v>53</v>
      </c>
      <c r="N184" s="19"/>
      <c r="O184" s="17" t="s">
        <v>399</v>
      </c>
      <c r="P184" s="17"/>
      <c r="Q184" s="28"/>
      <c r="R184" s="17" t="s">
        <v>535</v>
      </c>
      <c r="S184" s="17"/>
      <c r="T184" s="20"/>
      <c r="U184" s="28">
        <v>45799</v>
      </c>
      <c r="V184" s="28"/>
    </row>
    <row r="185" spans="1:23" ht="30" customHeight="1" x14ac:dyDescent="0.25">
      <c r="A185" s="17">
        <f>SUBTOTAL(103,B$2:B185)*1</f>
        <v>184</v>
      </c>
      <c r="B185" s="17" t="s">
        <v>1886</v>
      </c>
      <c r="C185" s="18" t="s">
        <v>2097</v>
      </c>
      <c r="D185" s="17" t="s">
        <v>325</v>
      </c>
      <c r="E185" s="17"/>
      <c r="F185" s="17"/>
      <c r="G185" s="17" t="s">
        <v>364</v>
      </c>
      <c r="H185" s="17" t="s">
        <v>927</v>
      </c>
      <c r="I185" s="17"/>
      <c r="J185" s="17" t="s">
        <v>2095</v>
      </c>
      <c r="K185" s="17" t="s">
        <v>748</v>
      </c>
      <c r="L185" s="19"/>
      <c r="M185" s="17" t="s">
        <v>342</v>
      </c>
      <c r="N185" s="19"/>
      <c r="O185" s="17">
        <v>1</v>
      </c>
      <c r="P185" s="17"/>
      <c r="Q185" s="28"/>
      <c r="R185" s="17" t="s">
        <v>443</v>
      </c>
      <c r="S185" s="17"/>
      <c r="T185" s="20" t="s">
        <v>2160</v>
      </c>
      <c r="U185" s="28">
        <v>46013</v>
      </c>
      <c r="V185" s="17" t="s">
        <v>2119</v>
      </c>
    </row>
    <row r="186" spans="1:23" ht="30" customHeight="1" x14ac:dyDescent="0.25">
      <c r="A186" s="17">
        <f>SUBTOTAL(103,B$2:B186)*1</f>
        <v>185</v>
      </c>
      <c r="B186" s="17" t="s">
        <v>393</v>
      </c>
      <c r="C186" s="18" t="s">
        <v>613</v>
      </c>
      <c r="D186" s="17" t="s">
        <v>13</v>
      </c>
      <c r="E186" s="17"/>
      <c r="F186" s="17"/>
      <c r="G186" s="17" t="s">
        <v>203</v>
      </c>
      <c r="H186" s="17" t="s">
        <v>618</v>
      </c>
      <c r="I186" s="17" t="s">
        <v>616</v>
      </c>
      <c r="J186" s="17" t="s">
        <v>614</v>
      </c>
      <c r="K186" s="17" t="s">
        <v>404</v>
      </c>
      <c r="L186" s="19">
        <v>1700000</v>
      </c>
      <c r="M186" s="17" t="s">
        <v>53</v>
      </c>
      <c r="N186" s="19"/>
      <c r="O186" s="17" t="s">
        <v>399</v>
      </c>
      <c r="P186" s="17"/>
      <c r="Q186" s="28"/>
      <c r="R186" s="17" t="s">
        <v>2606</v>
      </c>
      <c r="S186" s="17"/>
      <c r="T186" s="20" t="s">
        <v>595</v>
      </c>
      <c r="U186" s="28">
        <v>45799</v>
      </c>
      <c r="V186" s="28"/>
    </row>
    <row r="187" spans="1:23" ht="30" customHeight="1" x14ac:dyDescent="0.25">
      <c r="A187" s="17">
        <f>SUBTOTAL(103,B$2:B187)*1</f>
        <v>186</v>
      </c>
      <c r="B187" s="17" t="s">
        <v>292</v>
      </c>
      <c r="C187" s="18" t="s">
        <v>89</v>
      </c>
      <c r="D187" s="17" t="s">
        <v>90</v>
      </c>
      <c r="E187" s="17" t="s">
        <v>97</v>
      </c>
      <c r="F187" s="17"/>
      <c r="G187" s="17" t="s">
        <v>44</v>
      </c>
      <c r="H187" s="17" t="s">
        <v>618</v>
      </c>
      <c r="I187" s="17" t="s">
        <v>453</v>
      </c>
      <c r="J187" s="17" t="s">
        <v>89</v>
      </c>
      <c r="K187" s="17" t="s">
        <v>406</v>
      </c>
      <c r="L187" s="19"/>
      <c r="M187" s="17" t="s">
        <v>19</v>
      </c>
      <c r="N187" s="19"/>
      <c r="O187" s="17"/>
      <c r="P187" s="17"/>
      <c r="Q187" s="28"/>
      <c r="R187" s="17" t="s">
        <v>477</v>
      </c>
      <c r="S187" s="17"/>
      <c r="T187" s="20"/>
      <c r="U187" s="28"/>
      <c r="V187" s="17" t="s">
        <v>955</v>
      </c>
      <c r="W187" s="52"/>
    </row>
    <row r="188" spans="1:23" ht="30" customHeight="1" x14ac:dyDescent="0.25">
      <c r="A188" s="17">
        <f>SUBTOTAL(103,B$2:B188)*1</f>
        <v>187</v>
      </c>
      <c r="B188" s="17" t="s">
        <v>292</v>
      </c>
      <c r="C188" s="18" t="s">
        <v>1600</v>
      </c>
      <c r="D188" s="18" t="s">
        <v>325</v>
      </c>
      <c r="E188" s="17"/>
      <c r="F188" s="17"/>
      <c r="G188" s="17" t="s">
        <v>6</v>
      </c>
      <c r="H188" s="17" t="s">
        <v>618</v>
      </c>
      <c r="I188" s="17"/>
      <c r="J188" s="17" t="s">
        <v>402</v>
      </c>
      <c r="K188" s="17" t="s">
        <v>404</v>
      </c>
      <c r="L188" s="19"/>
      <c r="M188" s="17" t="s">
        <v>211</v>
      </c>
      <c r="N188" s="19"/>
      <c r="O188" s="17">
        <v>1</v>
      </c>
      <c r="P188" s="17"/>
      <c r="Q188" s="28"/>
      <c r="R188" s="17" t="s">
        <v>474</v>
      </c>
      <c r="S188" s="17"/>
      <c r="T188" s="35" t="s">
        <v>1613</v>
      </c>
      <c r="U188" s="28">
        <v>45939</v>
      </c>
      <c r="V188" s="17"/>
    </row>
    <row r="189" spans="1:23" ht="30" customHeight="1" x14ac:dyDescent="0.25">
      <c r="A189" s="17">
        <f>SUBTOTAL(103,B$2:B189)*1</f>
        <v>188</v>
      </c>
      <c r="B189" s="17" t="s">
        <v>292</v>
      </c>
      <c r="C189" s="18" t="s">
        <v>480</v>
      </c>
      <c r="D189" s="17" t="s">
        <v>31</v>
      </c>
      <c r="E189" s="17" t="s">
        <v>11</v>
      </c>
      <c r="F189" s="17"/>
      <c r="G189" s="17" t="s">
        <v>82</v>
      </c>
      <c r="H189" s="17" t="s">
        <v>619</v>
      </c>
      <c r="I189" s="17" t="s">
        <v>637</v>
      </c>
      <c r="J189" s="17" t="s">
        <v>12</v>
      </c>
      <c r="K189" s="17" t="s">
        <v>405</v>
      </c>
      <c r="L189" s="19"/>
      <c r="M189" s="17" t="s">
        <v>19</v>
      </c>
      <c r="N189" s="19"/>
      <c r="O189" s="17"/>
      <c r="P189" s="17"/>
      <c r="Q189" s="28"/>
      <c r="R189" s="17" t="s">
        <v>479</v>
      </c>
      <c r="S189" s="17"/>
      <c r="T189" s="20"/>
      <c r="U189" s="28"/>
      <c r="V189" s="17"/>
    </row>
    <row r="190" spans="1:23" ht="30" customHeight="1" x14ac:dyDescent="0.25">
      <c r="A190" s="17">
        <f>SUBTOTAL(103,B$2:B190)*1</f>
        <v>189</v>
      </c>
      <c r="B190" s="17" t="s">
        <v>440</v>
      </c>
      <c r="C190" s="18" t="s">
        <v>665</v>
      </c>
      <c r="D190" s="17" t="s">
        <v>298</v>
      </c>
      <c r="E190" s="17"/>
      <c r="F190" s="17"/>
      <c r="G190" s="17" t="s">
        <v>44</v>
      </c>
      <c r="H190" s="17" t="s">
        <v>618</v>
      </c>
      <c r="I190" s="17" t="s">
        <v>453</v>
      </c>
      <c r="J190" s="17" t="s">
        <v>666</v>
      </c>
      <c r="K190" s="5" t="s">
        <v>1159</v>
      </c>
      <c r="L190" s="19">
        <v>9000000</v>
      </c>
      <c r="M190" s="17" t="s">
        <v>342</v>
      </c>
      <c r="N190" s="19"/>
      <c r="O190" s="17" t="s">
        <v>667</v>
      </c>
      <c r="P190" s="17"/>
      <c r="Q190" s="28"/>
      <c r="R190" s="19" t="s">
        <v>533</v>
      </c>
      <c r="S190" s="19"/>
      <c r="T190" s="20" t="s">
        <v>668</v>
      </c>
      <c r="U190" s="28">
        <v>45799</v>
      </c>
      <c r="V190" s="28"/>
    </row>
    <row r="191" spans="1:23" ht="45" x14ac:dyDescent="0.25">
      <c r="A191" s="17">
        <f>SUBTOTAL(103,B$2:B191)*1</f>
        <v>190</v>
      </c>
      <c r="B191" s="17" t="s">
        <v>2589</v>
      </c>
      <c r="C191" s="18" t="s">
        <v>2667</v>
      </c>
      <c r="D191" s="17" t="s">
        <v>540</v>
      </c>
      <c r="E191" s="17"/>
      <c r="F191" s="17"/>
      <c r="G191" s="17" t="s">
        <v>373</v>
      </c>
      <c r="H191" s="17" t="s">
        <v>923</v>
      </c>
      <c r="I191" s="17"/>
      <c r="J191" s="17" t="s">
        <v>2673</v>
      </c>
      <c r="K191" s="17" t="s">
        <v>748</v>
      </c>
      <c r="L191" s="19"/>
      <c r="M191" s="17" t="s">
        <v>300</v>
      </c>
      <c r="N191" s="19"/>
      <c r="O191" s="17">
        <v>2</v>
      </c>
      <c r="P191" s="17"/>
      <c r="Q191" s="28"/>
      <c r="R191" s="17" t="s">
        <v>479</v>
      </c>
      <c r="S191" s="17"/>
      <c r="T191" s="20" t="s">
        <v>2972</v>
      </c>
      <c r="U191" s="77">
        <v>46104</v>
      </c>
      <c r="V191" s="17"/>
    </row>
    <row r="192" spans="1:23" ht="45" x14ac:dyDescent="0.25">
      <c r="A192" s="17">
        <f>SUBTOTAL(103,B$2:B192)*1</f>
        <v>191</v>
      </c>
      <c r="B192" s="17" t="s">
        <v>393</v>
      </c>
      <c r="C192" s="18" t="s">
        <v>597</v>
      </c>
      <c r="D192" s="17" t="s">
        <v>31</v>
      </c>
      <c r="E192" s="17"/>
      <c r="F192" s="17"/>
      <c r="G192" s="17" t="s">
        <v>16</v>
      </c>
      <c r="H192" s="17" t="s">
        <v>618</v>
      </c>
      <c r="I192" s="17" t="s">
        <v>628</v>
      </c>
      <c r="J192" s="17" t="s">
        <v>18</v>
      </c>
      <c r="K192" s="17" t="s">
        <v>404</v>
      </c>
      <c r="L192" s="19">
        <v>9000000</v>
      </c>
      <c r="M192" s="17" t="s">
        <v>60</v>
      </c>
      <c r="N192" s="19"/>
      <c r="O192" s="17" t="s">
        <v>54</v>
      </c>
      <c r="P192" s="17"/>
      <c r="Q192" s="28"/>
      <c r="R192" s="17" t="s">
        <v>529</v>
      </c>
      <c r="S192" s="17"/>
      <c r="T192" s="20" t="s">
        <v>998</v>
      </c>
      <c r="U192" s="28">
        <v>45838</v>
      </c>
      <c r="V192" s="28"/>
    </row>
    <row r="193" spans="1:23" ht="30" customHeight="1" x14ac:dyDescent="0.25">
      <c r="A193" s="17">
        <f>SUBTOTAL(103,B$2:B193)*1</f>
        <v>192</v>
      </c>
      <c r="B193" s="17" t="s">
        <v>292</v>
      </c>
      <c r="C193" s="18" t="s">
        <v>17</v>
      </c>
      <c r="D193" s="17" t="s">
        <v>13</v>
      </c>
      <c r="E193" s="17" t="s">
        <v>21</v>
      </c>
      <c r="F193" s="17" t="s">
        <v>15</v>
      </c>
      <c r="G193" s="17" t="s">
        <v>16</v>
      </c>
      <c r="H193" s="17" t="s">
        <v>618</v>
      </c>
      <c r="I193" s="17" t="s">
        <v>628</v>
      </c>
      <c r="J193" s="17" t="s">
        <v>18</v>
      </c>
      <c r="K193" s="17" t="s">
        <v>404</v>
      </c>
      <c r="L193" s="19">
        <v>1500000</v>
      </c>
      <c r="M193" s="17" t="s">
        <v>28</v>
      </c>
      <c r="N193" s="19"/>
      <c r="O193" s="17" t="s">
        <v>54</v>
      </c>
      <c r="P193" s="17"/>
      <c r="Q193" s="28"/>
      <c r="R193" s="17" t="s">
        <v>482</v>
      </c>
      <c r="S193" s="17"/>
      <c r="T193" s="20"/>
      <c r="U193" s="28"/>
      <c r="V193" s="17"/>
    </row>
    <row r="194" spans="1:23" ht="30" customHeight="1" x14ac:dyDescent="0.25">
      <c r="A194" s="17">
        <f>SUBTOTAL(103,B$2:B194)*1</f>
        <v>193</v>
      </c>
      <c r="B194" s="17" t="s">
        <v>2589</v>
      </c>
      <c r="C194" s="18" t="s">
        <v>2615</v>
      </c>
      <c r="D194" s="17" t="s">
        <v>1660</v>
      </c>
      <c r="E194" s="17" t="s">
        <v>298</v>
      </c>
      <c r="F194" s="17"/>
      <c r="G194" s="17" t="s">
        <v>332</v>
      </c>
      <c r="H194" s="17" t="s">
        <v>923</v>
      </c>
      <c r="I194" s="17" t="s">
        <v>587</v>
      </c>
      <c r="J194" s="17" t="s">
        <v>2614</v>
      </c>
      <c r="K194" s="17" t="s">
        <v>748</v>
      </c>
      <c r="L194" s="19"/>
      <c r="M194" s="17" t="s">
        <v>342</v>
      </c>
      <c r="N194" s="19"/>
      <c r="O194" s="17">
        <v>1</v>
      </c>
      <c r="P194" s="17"/>
      <c r="Q194" s="28"/>
      <c r="R194" s="17" t="s">
        <v>535</v>
      </c>
      <c r="S194" s="17"/>
      <c r="T194" s="20" t="s">
        <v>2668</v>
      </c>
      <c r="U194" s="28">
        <v>46041</v>
      </c>
      <c r="V194" s="17"/>
    </row>
    <row r="195" spans="1:23" ht="30" customHeight="1" x14ac:dyDescent="0.25">
      <c r="A195" s="17">
        <f>SUBTOTAL(103,B$2:B195)*1</f>
        <v>194</v>
      </c>
      <c r="B195" s="62" t="s">
        <v>2535</v>
      </c>
      <c r="C195" s="18" t="s">
        <v>201</v>
      </c>
      <c r="D195" s="17" t="s">
        <v>13</v>
      </c>
      <c r="E195" s="17" t="s">
        <v>21</v>
      </c>
      <c r="F195" s="17"/>
      <c r="G195" s="17" t="s">
        <v>22</v>
      </c>
      <c r="H195" s="17" t="s">
        <v>618</v>
      </c>
      <c r="I195" s="17"/>
      <c r="J195" s="17" t="s">
        <v>23</v>
      </c>
      <c r="K195" s="17" t="s">
        <v>404</v>
      </c>
      <c r="L195" s="19">
        <v>2000000</v>
      </c>
      <c r="M195" s="17" t="s">
        <v>300</v>
      </c>
      <c r="N195" s="19"/>
      <c r="O195" s="17">
        <v>2</v>
      </c>
      <c r="P195" s="17"/>
      <c r="Q195" s="28"/>
      <c r="R195" s="17" t="s">
        <v>482</v>
      </c>
      <c r="S195" s="17"/>
      <c r="T195" s="20" t="s">
        <v>2878</v>
      </c>
      <c r="U195" s="28">
        <v>46097</v>
      </c>
      <c r="V195" s="17"/>
    </row>
    <row r="196" spans="1:23" ht="30" customHeight="1" x14ac:dyDescent="0.25">
      <c r="A196" s="17">
        <f>SUBTOTAL(103,B$2:B196)*1</f>
        <v>195</v>
      </c>
      <c r="B196" s="17" t="s">
        <v>292</v>
      </c>
      <c r="C196" s="18" t="s">
        <v>842</v>
      </c>
      <c r="D196" s="18" t="s">
        <v>845</v>
      </c>
      <c r="E196" s="17"/>
      <c r="F196" s="17"/>
      <c r="G196" s="17" t="s">
        <v>625</v>
      </c>
      <c r="H196" s="17" t="s">
        <v>619</v>
      </c>
      <c r="I196" s="17" t="s">
        <v>663</v>
      </c>
      <c r="J196" s="17" t="s">
        <v>35</v>
      </c>
      <c r="K196" s="17" t="s">
        <v>404</v>
      </c>
      <c r="L196" s="19"/>
      <c r="M196" s="17" t="s">
        <v>342</v>
      </c>
      <c r="N196" s="19"/>
      <c r="O196" s="17">
        <v>1</v>
      </c>
      <c r="P196" s="17"/>
      <c r="Q196" s="28"/>
      <c r="R196" s="17" t="s">
        <v>529</v>
      </c>
      <c r="S196" s="17"/>
      <c r="T196" s="35"/>
      <c r="U196" s="28">
        <v>45824</v>
      </c>
      <c r="V196" s="28"/>
    </row>
    <row r="197" spans="1:23" ht="30" customHeight="1" x14ac:dyDescent="0.25">
      <c r="A197" s="17">
        <f>SUBTOTAL(103,B$2:B197)*1</f>
        <v>196</v>
      </c>
      <c r="B197" s="17" t="s">
        <v>292</v>
      </c>
      <c r="C197" s="18" t="s">
        <v>2426</v>
      </c>
      <c r="D197" s="18" t="s">
        <v>298</v>
      </c>
      <c r="E197" s="17"/>
      <c r="F197" s="17"/>
      <c r="G197" s="17" t="s">
        <v>625</v>
      </c>
      <c r="H197" s="17" t="s">
        <v>619</v>
      </c>
      <c r="I197" s="17" t="s">
        <v>663</v>
      </c>
      <c r="J197" s="17" t="s">
        <v>35</v>
      </c>
      <c r="K197" s="17" t="s">
        <v>404</v>
      </c>
      <c r="L197" s="19">
        <v>20000000</v>
      </c>
      <c r="M197" s="17" t="s">
        <v>300</v>
      </c>
      <c r="N197" s="19"/>
      <c r="O197" s="17">
        <v>3</v>
      </c>
      <c r="P197" s="17"/>
      <c r="Q197" s="28"/>
      <c r="R197" s="17" t="s">
        <v>2607</v>
      </c>
      <c r="S197" s="17"/>
      <c r="T197" s="35" t="s">
        <v>1929</v>
      </c>
      <c r="U197" s="28">
        <v>45985</v>
      </c>
      <c r="V197" s="17"/>
    </row>
    <row r="198" spans="1:23" ht="45" x14ac:dyDescent="0.25">
      <c r="A198" s="17">
        <f>SUBTOTAL(103,B$2:B198)*1</f>
        <v>197</v>
      </c>
      <c r="B198" s="17" t="s">
        <v>292</v>
      </c>
      <c r="C198" s="18" t="s">
        <v>1517</v>
      </c>
      <c r="D198" s="18" t="s">
        <v>298</v>
      </c>
      <c r="E198" s="17"/>
      <c r="F198" s="17"/>
      <c r="G198" s="17" t="s">
        <v>625</v>
      </c>
      <c r="H198" s="17" t="s">
        <v>619</v>
      </c>
      <c r="I198" s="17"/>
      <c r="J198" s="17" t="s">
        <v>35</v>
      </c>
      <c r="K198" s="17" t="s">
        <v>405</v>
      </c>
      <c r="L198" s="19"/>
      <c r="M198" s="17" t="s">
        <v>211</v>
      </c>
      <c r="N198" s="19"/>
      <c r="O198" s="17">
        <v>1</v>
      </c>
      <c r="P198" s="17"/>
      <c r="Q198" s="28"/>
      <c r="R198" s="17" t="s">
        <v>475</v>
      </c>
      <c r="S198" s="17"/>
      <c r="T198" s="35" t="s">
        <v>1553</v>
      </c>
      <c r="U198" s="28">
        <v>45922</v>
      </c>
      <c r="V198" s="28"/>
    </row>
    <row r="199" spans="1:23" ht="30" customHeight="1" x14ac:dyDescent="0.25">
      <c r="A199" s="17">
        <f>SUBTOTAL(103,B$2:B199)*1</f>
        <v>198</v>
      </c>
      <c r="B199" s="17" t="s">
        <v>292</v>
      </c>
      <c r="C199" s="18" t="s">
        <v>800</v>
      </c>
      <c r="D199" s="17" t="s">
        <v>46</v>
      </c>
      <c r="E199" s="17" t="s">
        <v>807</v>
      </c>
      <c r="F199" s="17"/>
      <c r="G199" s="17" t="s">
        <v>36</v>
      </c>
      <c r="H199" s="17" t="s">
        <v>620</v>
      </c>
      <c r="I199" s="17" t="s">
        <v>629</v>
      </c>
      <c r="J199" s="17" t="s">
        <v>750</v>
      </c>
      <c r="K199" s="17" t="s">
        <v>404</v>
      </c>
      <c r="L199" s="19">
        <v>600000</v>
      </c>
      <c r="M199" s="17" t="s">
        <v>211</v>
      </c>
      <c r="N199" s="19"/>
      <c r="O199" s="17">
        <v>1</v>
      </c>
      <c r="P199" s="17"/>
      <c r="Q199" s="28"/>
      <c r="R199" s="17" t="s">
        <v>474</v>
      </c>
      <c r="S199" s="17"/>
      <c r="T199" s="20" t="s">
        <v>833</v>
      </c>
      <c r="U199" s="28">
        <v>45817</v>
      </c>
      <c r="V199" s="28" t="s">
        <v>886</v>
      </c>
      <c r="W199" s="52"/>
    </row>
    <row r="200" spans="1:23" ht="60" x14ac:dyDescent="0.25">
      <c r="A200" s="17">
        <f>SUBTOTAL(103,B$2:B200)*1</f>
        <v>199</v>
      </c>
      <c r="B200" s="62" t="s">
        <v>2535</v>
      </c>
      <c r="C200" s="18" t="s">
        <v>1784</v>
      </c>
      <c r="D200" s="18" t="s">
        <v>304</v>
      </c>
      <c r="E200" s="17"/>
      <c r="F200" s="17"/>
      <c r="G200" s="17" t="s">
        <v>36</v>
      </c>
      <c r="H200" s="17" t="s">
        <v>620</v>
      </c>
      <c r="I200" s="17"/>
      <c r="J200" s="17" t="s">
        <v>750</v>
      </c>
      <c r="K200" s="17" t="s">
        <v>404</v>
      </c>
      <c r="L200" s="19"/>
      <c r="M200" s="17" t="s">
        <v>333</v>
      </c>
      <c r="N200" s="19"/>
      <c r="O200" s="17">
        <v>7</v>
      </c>
      <c r="P200" s="17"/>
      <c r="Q200" s="28"/>
      <c r="R200" s="17" t="s">
        <v>475</v>
      </c>
      <c r="S200" s="17"/>
      <c r="T200" s="35" t="s">
        <v>2685</v>
      </c>
      <c r="U200" s="28">
        <v>46048</v>
      </c>
      <c r="V200" s="17"/>
    </row>
    <row r="201" spans="1:23" ht="30" customHeight="1" x14ac:dyDescent="0.25">
      <c r="A201" s="17">
        <f>SUBTOTAL(103,B$2:B201)*1</f>
        <v>200</v>
      </c>
      <c r="B201" s="17" t="s">
        <v>292</v>
      </c>
      <c r="C201" s="18" t="s">
        <v>1814</v>
      </c>
      <c r="D201" s="18" t="s">
        <v>298</v>
      </c>
      <c r="E201" s="17"/>
      <c r="F201" s="17"/>
      <c r="G201" s="17" t="s">
        <v>36</v>
      </c>
      <c r="H201" s="17" t="s">
        <v>620</v>
      </c>
      <c r="I201" s="17"/>
      <c r="J201" s="17" t="s">
        <v>750</v>
      </c>
      <c r="K201" s="17" t="s">
        <v>404</v>
      </c>
      <c r="L201" s="19"/>
      <c r="M201" s="17" t="s">
        <v>211</v>
      </c>
      <c r="N201" s="19"/>
      <c r="O201" s="17">
        <v>1</v>
      </c>
      <c r="P201" s="17"/>
      <c r="Q201" s="28"/>
      <c r="R201" s="17" t="s">
        <v>468</v>
      </c>
      <c r="S201" s="17"/>
      <c r="T201" s="35" t="s">
        <v>1825</v>
      </c>
      <c r="U201" s="28">
        <v>45971</v>
      </c>
      <c r="V201" s="17"/>
    </row>
    <row r="202" spans="1:23" ht="30" customHeight="1" x14ac:dyDescent="0.25">
      <c r="A202" s="17">
        <f>SUBTOTAL(103,B$2:B202)*1</f>
        <v>201</v>
      </c>
      <c r="B202" s="62" t="s">
        <v>2535</v>
      </c>
      <c r="C202" s="18" t="s">
        <v>145</v>
      </c>
      <c r="D202" s="17" t="s">
        <v>38</v>
      </c>
      <c r="E202" s="17"/>
      <c r="F202" s="17"/>
      <c r="G202" s="17" t="s">
        <v>94</v>
      </c>
      <c r="H202" s="17" t="s">
        <v>624</v>
      </c>
      <c r="I202" s="17" t="s">
        <v>642</v>
      </c>
      <c r="J202" s="17" t="s">
        <v>146</v>
      </c>
      <c r="K202" s="17" t="s">
        <v>429</v>
      </c>
      <c r="L202" s="19"/>
      <c r="M202" s="17" t="s">
        <v>19</v>
      </c>
      <c r="N202" s="19"/>
      <c r="O202" s="17">
        <v>2</v>
      </c>
      <c r="P202" s="17"/>
      <c r="Q202" s="28"/>
      <c r="R202" s="17" t="s">
        <v>473</v>
      </c>
      <c r="S202" s="17"/>
      <c r="T202" s="20" t="s">
        <v>2746</v>
      </c>
      <c r="U202" s="28">
        <v>46055</v>
      </c>
      <c r="V202" s="17"/>
    </row>
    <row r="203" spans="1:23" ht="30" customHeight="1" x14ac:dyDescent="0.25">
      <c r="A203" s="17">
        <f>SUBTOTAL(103,B$2:B203)*1</f>
        <v>202</v>
      </c>
      <c r="B203" s="17" t="s">
        <v>292</v>
      </c>
      <c r="C203" s="18" t="s">
        <v>47</v>
      </c>
      <c r="D203" s="17" t="s">
        <v>38</v>
      </c>
      <c r="E203" s="17"/>
      <c r="F203" s="17"/>
      <c r="G203" s="17" t="s">
        <v>48</v>
      </c>
      <c r="H203" s="17" t="s">
        <v>618</v>
      </c>
      <c r="I203" s="17"/>
      <c r="J203" s="17" t="s">
        <v>49</v>
      </c>
      <c r="K203" s="17" t="s">
        <v>405</v>
      </c>
      <c r="L203" s="19"/>
      <c r="M203" s="17" t="s">
        <v>19</v>
      </c>
      <c r="N203" s="19"/>
      <c r="O203" s="17">
        <v>2</v>
      </c>
      <c r="P203" s="17"/>
      <c r="Q203" s="28"/>
      <c r="R203" s="17" t="s">
        <v>473</v>
      </c>
      <c r="S203" s="17"/>
      <c r="T203" s="20"/>
      <c r="U203" s="28"/>
      <c r="V203" s="17"/>
    </row>
    <row r="204" spans="1:23" ht="30" customHeight="1" x14ac:dyDescent="0.25">
      <c r="A204" s="17">
        <f>SUBTOTAL(103,B$2:B204)*1</f>
        <v>203</v>
      </c>
      <c r="B204" s="17" t="s">
        <v>292</v>
      </c>
      <c r="C204" s="18" t="s">
        <v>37</v>
      </c>
      <c r="D204" s="17" t="s">
        <v>38</v>
      </c>
      <c r="E204" s="17"/>
      <c r="F204" s="17"/>
      <c r="G204" s="17" t="s">
        <v>625</v>
      </c>
      <c r="H204" s="17" t="s">
        <v>622</v>
      </c>
      <c r="I204" s="17"/>
      <c r="J204" s="17" t="s">
        <v>39</v>
      </c>
      <c r="K204" s="17" t="s">
        <v>405</v>
      </c>
      <c r="L204" s="19"/>
      <c r="M204" s="17" t="s">
        <v>342</v>
      </c>
      <c r="N204" s="19"/>
      <c r="O204" s="17">
        <v>2</v>
      </c>
      <c r="P204" s="17"/>
      <c r="Q204" s="28"/>
      <c r="R204" s="17" t="s">
        <v>473</v>
      </c>
      <c r="S204" s="17"/>
      <c r="T204" s="20" t="s">
        <v>1718</v>
      </c>
      <c r="U204" s="28">
        <v>45964</v>
      </c>
      <c r="V204" s="17"/>
    </row>
    <row r="205" spans="1:23" ht="30" customHeight="1" x14ac:dyDescent="0.25">
      <c r="A205" s="17">
        <f>SUBTOTAL(103,B$2:B205)*1</f>
        <v>204</v>
      </c>
      <c r="B205" s="62" t="s">
        <v>2535</v>
      </c>
      <c r="C205" s="18" t="s">
        <v>2489</v>
      </c>
      <c r="D205" s="17" t="s">
        <v>38</v>
      </c>
      <c r="E205" s="17"/>
      <c r="F205" s="17"/>
      <c r="G205" s="17" t="s">
        <v>82</v>
      </c>
      <c r="H205" s="17" t="s">
        <v>622</v>
      </c>
      <c r="I205" s="17" t="s">
        <v>642</v>
      </c>
      <c r="J205" s="17" t="s">
        <v>39</v>
      </c>
      <c r="K205" s="17" t="s">
        <v>405</v>
      </c>
      <c r="L205" s="19"/>
      <c r="M205" s="17" t="s">
        <v>333</v>
      </c>
      <c r="N205" s="19"/>
      <c r="O205" s="17">
        <v>30</v>
      </c>
      <c r="P205" s="17"/>
      <c r="Q205" s="28"/>
      <c r="R205" s="17" t="s">
        <v>473</v>
      </c>
      <c r="S205" s="17"/>
      <c r="T205" s="35" t="s">
        <v>2842</v>
      </c>
      <c r="U205" s="77">
        <v>46104</v>
      </c>
      <c r="V205" s="28"/>
    </row>
    <row r="206" spans="1:23" ht="30" customHeight="1" x14ac:dyDescent="0.25">
      <c r="A206" s="17">
        <f>SUBTOTAL(103,B$2:B206)*1</f>
        <v>205</v>
      </c>
      <c r="B206" s="17" t="s">
        <v>292</v>
      </c>
      <c r="C206" s="18" t="s">
        <v>107</v>
      </c>
      <c r="D206" s="17" t="s">
        <v>38</v>
      </c>
      <c r="E206" s="17"/>
      <c r="F206" s="17"/>
      <c r="G206" s="17" t="s">
        <v>82</v>
      </c>
      <c r="H206" s="17" t="s">
        <v>622</v>
      </c>
      <c r="I206" s="17" t="s">
        <v>642</v>
      </c>
      <c r="J206" s="17" t="s">
        <v>39</v>
      </c>
      <c r="K206" s="17" t="s">
        <v>405</v>
      </c>
      <c r="L206" s="19"/>
      <c r="M206" s="17" t="s">
        <v>19</v>
      </c>
      <c r="N206" s="19"/>
      <c r="O206" s="17"/>
      <c r="P206" s="17"/>
      <c r="Q206" s="28"/>
      <c r="R206" s="17" t="s">
        <v>473</v>
      </c>
      <c r="S206" s="17"/>
      <c r="T206" s="20"/>
      <c r="U206" s="28"/>
      <c r="V206" s="17"/>
    </row>
    <row r="207" spans="1:23" ht="30" customHeight="1" x14ac:dyDescent="0.25">
      <c r="A207" s="17">
        <f>SUBTOTAL(103,B$2:B207)*1</f>
        <v>206</v>
      </c>
      <c r="B207" s="17" t="s">
        <v>292</v>
      </c>
      <c r="C207" s="18" t="s">
        <v>114</v>
      </c>
      <c r="D207" s="17" t="s">
        <v>38</v>
      </c>
      <c r="E207" s="17"/>
      <c r="F207" s="17"/>
      <c r="G207" s="17" t="s">
        <v>71</v>
      </c>
      <c r="H207" s="17" t="s">
        <v>622</v>
      </c>
      <c r="I207" s="17" t="s">
        <v>661</v>
      </c>
      <c r="J207" s="17" t="s">
        <v>39</v>
      </c>
      <c r="K207" s="17" t="s">
        <v>405</v>
      </c>
      <c r="L207" s="19"/>
      <c r="M207" s="17" t="s">
        <v>333</v>
      </c>
      <c r="N207" s="19"/>
      <c r="O207" s="17">
        <v>4</v>
      </c>
      <c r="P207" s="17"/>
      <c r="Q207" s="28"/>
      <c r="R207" s="17" t="s">
        <v>473</v>
      </c>
      <c r="S207" s="17"/>
      <c r="T207" s="20" t="s">
        <v>1397</v>
      </c>
      <c r="U207" s="28">
        <v>45992</v>
      </c>
      <c r="V207" s="17"/>
    </row>
    <row r="208" spans="1:23" ht="30" customHeight="1" x14ac:dyDescent="0.25">
      <c r="A208" s="17">
        <f>SUBTOTAL(103,B$2:B208)*1</f>
        <v>207</v>
      </c>
      <c r="B208" s="17" t="s">
        <v>292</v>
      </c>
      <c r="C208" s="18" t="s">
        <v>115</v>
      </c>
      <c r="D208" s="17" t="s">
        <v>38</v>
      </c>
      <c r="E208" s="17"/>
      <c r="F208" s="17"/>
      <c r="G208" s="17" t="s">
        <v>63</v>
      </c>
      <c r="H208" s="17" t="s">
        <v>622</v>
      </c>
      <c r="I208" s="17"/>
      <c r="J208" s="17" t="s">
        <v>39</v>
      </c>
      <c r="K208" s="17" t="s">
        <v>405</v>
      </c>
      <c r="L208" s="19"/>
      <c r="M208" s="17" t="s">
        <v>42</v>
      </c>
      <c r="N208" s="19"/>
      <c r="O208" s="17"/>
      <c r="P208" s="17"/>
      <c r="Q208" s="28"/>
      <c r="R208" s="17" t="s">
        <v>473</v>
      </c>
      <c r="S208" s="17"/>
      <c r="T208" s="20"/>
      <c r="U208" s="28"/>
      <c r="V208" s="17"/>
    </row>
    <row r="209" spans="1:22" ht="30" customHeight="1" x14ac:dyDescent="0.25">
      <c r="A209" s="17">
        <f>SUBTOTAL(103,B$2:B209)*1</f>
        <v>208</v>
      </c>
      <c r="B209" s="62" t="s">
        <v>2535</v>
      </c>
      <c r="C209" s="18" t="s">
        <v>774</v>
      </c>
      <c r="D209" s="17" t="s">
        <v>38</v>
      </c>
      <c r="E209" s="17"/>
      <c r="F209" s="17"/>
      <c r="G209" s="17" t="s">
        <v>82</v>
      </c>
      <c r="H209" s="17" t="s">
        <v>619</v>
      </c>
      <c r="I209" s="17"/>
      <c r="J209" s="17" t="s">
        <v>39</v>
      </c>
      <c r="K209" s="17" t="s">
        <v>405</v>
      </c>
      <c r="L209" s="19"/>
      <c r="M209" s="17" t="s">
        <v>333</v>
      </c>
      <c r="N209" s="19"/>
      <c r="O209" s="17">
        <v>5</v>
      </c>
      <c r="P209" s="17"/>
      <c r="Q209" s="28"/>
      <c r="R209" s="17" t="s">
        <v>473</v>
      </c>
      <c r="S209" s="17"/>
      <c r="T209" s="35" t="s">
        <v>2793</v>
      </c>
      <c r="U209" s="28">
        <v>46078</v>
      </c>
      <c r="V209" s="28"/>
    </row>
    <row r="210" spans="1:22" ht="30" customHeight="1" x14ac:dyDescent="0.25">
      <c r="A210" s="17">
        <f>SUBTOTAL(103,B$2:B210)*1</f>
        <v>209</v>
      </c>
      <c r="B210" s="17" t="s">
        <v>292</v>
      </c>
      <c r="C210" s="18" t="s">
        <v>186</v>
      </c>
      <c r="D210" s="17" t="s">
        <v>38</v>
      </c>
      <c r="E210" s="17"/>
      <c r="F210" s="17"/>
      <c r="G210" s="17" t="s">
        <v>63</v>
      </c>
      <c r="H210" s="17" t="s">
        <v>622</v>
      </c>
      <c r="I210" s="17"/>
      <c r="J210" s="17" t="s">
        <v>39</v>
      </c>
      <c r="K210" s="17" t="s">
        <v>405</v>
      </c>
      <c r="L210" s="19"/>
      <c r="M210" s="17" t="s">
        <v>42</v>
      </c>
      <c r="N210" s="19"/>
      <c r="O210" s="17"/>
      <c r="P210" s="17"/>
      <c r="Q210" s="28"/>
      <c r="R210" s="17" t="s">
        <v>473</v>
      </c>
      <c r="S210" s="17"/>
      <c r="T210" s="20"/>
      <c r="U210" s="28"/>
      <c r="V210" s="17"/>
    </row>
    <row r="211" spans="1:22" ht="30" customHeight="1" x14ac:dyDescent="0.25">
      <c r="A211" s="17">
        <f>SUBTOTAL(103,B$2:B211)*1</f>
        <v>210</v>
      </c>
      <c r="B211" s="17" t="s">
        <v>292</v>
      </c>
      <c r="C211" s="18" t="s">
        <v>194</v>
      </c>
      <c r="D211" s="17" t="s">
        <v>38</v>
      </c>
      <c r="E211" s="17"/>
      <c r="F211" s="17"/>
      <c r="G211" s="17" t="s">
        <v>63</v>
      </c>
      <c r="H211" s="17" t="s">
        <v>622</v>
      </c>
      <c r="I211" s="17" t="s">
        <v>642</v>
      </c>
      <c r="J211" s="17" t="s">
        <v>39</v>
      </c>
      <c r="K211" s="17" t="s">
        <v>405</v>
      </c>
      <c r="L211" s="19"/>
      <c r="M211" s="17" t="s">
        <v>300</v>
      </c>
      <c r="N211" s="19"/>
      <c r="O211" s="17">
        <v>2</v>
      </c>
      <c r="P211" s="17"/>
      <c r="Q211" s="28"/>
      <c r="R211" s="17" t="s">
        <v>473</v>
      </c>
      <c r="S211" s="17"/>
      <c r="T211" s="20" t="s">
        <v>1858</v>
      </c>
      <c r="U211" s="28">
        <v>45978</v>
      </c>
      <c r="V211" s="17"/>
    </row>
    <row r="212" spans="1:22" ht="30" customHeight="1" x14ac:dyDescent="0.25">
      <c r="A212" s="17">
        <f>SUBTOTAL(103,B$2:B212)*1</f>
        <v>211</v>
      </c>
      <c r="B212" s="17" t="s">
        <v>292</v>
      </c>
      <c r="C212" s="18" t="s">
        <v>524</v>
      </c>
      <c r="D212" s="17" t="s">
        <v>38</v>
      </c>
      <c r="E212" s="17"/>
      <c r="F212" s="17"/>
      <c r="G212" s="17" t="s">
        <v>63</v>
      </c>
      <c r="H212" s="17" t="s">
        <v>622</v>
      </c>
      <c r="I212" s="17"/>
      <c r="J212" s="17" t="s">
        <v>39</v>
      </c>
      <c r="K212" s="17" t="s">
        <v>405</v>
      </c>
      <c r="L212" s="19"/>
      <c r="M212" s="17" t="s">
        <v>42</v>
      </c>
      <c r="N212" s="19"/>
      <c r="O212" s="17">
        <v>1</v>
      </c>
      <c r="P212" s="17"/>
      <c r="Q212" s="28"/>
      <c r="R212" s="17" t="s">
        <v>473</v>
      </c>
      <c r="S212" s="17"/>
      <c r="T212" s="35"/>
      <c r="U212" s="28">
        <v>45799</v>
      </c>
      <c r="V212" s="28"/>
    </row>
    <row r="213" spans="1:22" ht="30" customHeight="1" x14ac:dyDescent="0.25">
      <c r="A213" s="17">
        <f>SUBTOTAL(103,B$2:B213)*1</f>
        <v>212</v>
      </c>
      <c r="B213" s="17" t="s">
        <v>292</v>
      </c>
      <c r="C213" s="18" t="s">
        <v>802</v>
      </c>
      <c r="D213" s="17" t="s">
        <v>38</v>
      </c>
      <c r="E213" s="17"/>
      <c r="F213" s="17"/>
      <c r="G213" s="17" t="s">
        <v>625</v>
      </c>
      <c r="H213" s="17" t="s">
        <v>619</v>
      </c>
      <c r="I213" s="17"/>
      <c r="J213" s="17" t="s">
        <v>39</v>
      </c>
      <c r="K213" s="17" t="s">
        <v>405</v>
      </c>
      <c r="L213" s="19"/>
      <c r="M213" s="17" t="s">
        <v>342</v>
      </c>
      <c r="N213" s="19"/>
      <c r="O213" s="17">
        <v>1</v>
      </c>
      <c r="P213" s="17"/>
      <c r="Q213" s="28"/>
      <c r="R213" s="17" t="s">
        <v>473</v>
      </c>
      <c r="S213" s="17"/>
      <c r="T213" s="35"/>
      <c r="U213" s="28">
        <v>45817</v>
      </c>
      <c r="V213" s="28"/>
    </row>
    <row r="214" spans="1:22" ht="30" customHeight="1" x14ac:dyDescent="0.25">
      <c r="A214" s="17">
        <f>SUBTOTAL(103,B$2:B214)*1</f>
        <v>213</v>
      </c>
      <c r="B214" s="17" t="s">
        <v>292</v>
      </c>
      <c r="C214" s="18" t="s">
        <v>996</v>
      </c>
      <c r="D214" s="18" t="s">
        <v>38</v>
      </c>
      <c r="E214" s="17"/>
      <c r="F214" s="17"/>
      <c r="G214" s="17" t="s">
        <v>625</v>
      </c>
      <c r="H214" s="17" t="s">
        <v>619</v>
      </c>
      <c r="I214" s="17"/>
      <c r="J214" s="17" t="s">
        <v>39</v>
      </c>
      <c r="K214" s="17" t="s">
        <v>405</v>
      </c>
      <c r="L214" s="19"/>
      <c r="M214" s="17" t="s">
        <v>300</v>
      </c>
      <c r="N214" s="19"/>
      <c r="O214" s="17">
        <v>3</v>
      </c>
      <c r="P214" s="17"/>
      <c r="Q214" s="28"/>
      <c r="R214" s="17" t="s">
        <v>473</v>
      </c>
      <c r="S214" s="17"/>
      <c r="T214" s="35" t="s">
        <v>1618</v>
      </c>
      <c r="U214" s="28">
        <v>45971</v>
      </c>
      <c r="V214" s="28"/>
    </row>
    <row r="215" spans="1:22" ht="30" customHeight="1" x14ac:dyDescent="0.25">
      <c r="A215" s="17">
        <f>SUBTOTAL(103,B$2:B215)*1</f>
        <v>214</v>
      </c>
      <c r="B215" s="17" t="s">
        <v>292</v>
      </c>
      <c r="C215" s="18" t="s">
        <v>997</v>
      </c>
      <c r="D215" s="18" t="s">
        <v>38</v>
      </c>
      <c r="E215" s="17"/>
      <c r="F215" s="17"/>
      <c r="G215" s="17" t="s">
        <v>625</v>
      </c>
      <c r="H215" s="17" t="s">
        <v>619</v>
      </c>
      <c r="I215" s="17"/>
      <c r="J215" s="17" t="s">
        <v>39</v>
      </c>
      <c r="K215" s="17" t="s">
        <v>405</v>
      </c>
      <c r="L215" s="19"/>
      <c r="M215" s="17" t="s">
        <v>342</v>
      </c>
      <c r="N215" s="19"/>
      <c r="O215" s="17">
        <v>1</v>
      </c>
      <c r="P215" s="17"/>
      <c r="Q215" s="28"/>
      <c r="R215" s="17" t="s">
        <v>473</v>
      </c>
      <c r="S215" s="17"/>
      <c r="T215" s="35"/>
      <c r="U215" s="28">
        <v>45838</v>
      </c>
      <c r="V215" s="28"/>
    </row>
    <row r="216" spans="1:22" ht="30" customHeight="1" x14ac:dyDescent="0.25">
      <c r="A216" s="17">
        <f>SUBTOTAL(103,B$2:B216)*1</f>
        <v>215</v>
      </c>
      <c r="B216" s="62" t="s">
        <v>2535</v>
      </c>
      <c r="C216" s="18" t="s">
        <v>1977</v>
      </c>
      <c r="D216" s="18" t="s">
        <v>38</v>
      </c>
      <c r="E216" s="17"/>
      <c r="F216" s="17"/>
      <c r="G216" s="17" t="s">
        <v>82</v>
      </c>
      <c r="H216" s="17" t="s">
        <v>619</v>
      </c>
      <c r="I216" s="17"/>
      <c r="J216" s="17" t="s">
        <v>39</v>
      </c>
      <c r="K216" s="17" t="s">
        <v>405</v>
      </c>
      <c r="L216" s="19"/>
      <c r="M216" s="17" t="s">
        <v>333</v>
      </c>
      <c r="N216" s="19"/>
      <c r="O216" s="17">
        <v>10</v>
      </c>
      <c r="P216" s="17"/>
      <c r="Q216" s="28"/>
      <c r="R216" s="17" t="s">
        <v>473</v>
      </c>
      <c r="S216" s="17"/>
      <c r="T216" s="35" t="s">
        <v>1397</v>
      </c>
      <c r="U216" s="28">
        <v>46041</v>
      </c>
      <c r="V216" s="28"/>
    </row>
    <row r="217" spans="1:22" ht="30" customHeight="1" x14ac:dyDescent="0.25">
      <c r="A217" s="17">
        <f>SUBTOTAL(103,B$2:B217)*1</f>
        <v>216</v>
      </c>
      <c r="B217" s="17" t="s">
        <v>292</v>
      </c>
      <c r="C217" s="18" t="s">
        <v>1200</v>
      </c>
      <c r="D217" s="18" t="s">
        <v>38</v>
      </c>
      <c r="E217" s="17"/>
      <c r="F217" s="17"/>
      <c r="G217" s="17" t="s">
        <v>625</v>
      </c>
      <c r="H217" s="17" t="s">
        <v>619</v>
      </c>
      <c r="I217" s="17"/>
      <c r="J217" s="17" t="s">
        <v>39</v>
      </c>
      <c r="K217" s="17" t="s">
        <v>405</v>
      </c>
      <c r="L217" s="19"/>
      <c r="M217" s="17" t="s">
        <v>211</v>
      </c>
      <c r="N217" s="19"/>
      <c r="O217" s="17">
        <v>1</v>
      </c>
      <c r="P217" s="17"/>
      <c r="Q217" s="28"/>
      <c r="R217" s="17" t="s">
        <v>473</v>
      </c>
      <c r="S217" s="17"/>
      <c r="T217" s="35"/>
      <c r="U217" s="28">
        <v>45866</v>
      </c>
      <c r="V217" s="28"/>
    </row>
    <row r="218" spans="1:22" ht="30" customHeight="1" x14ac:dyDescent="0.25">
      <c r="A218" s="17">
        <f>SUBTOTAL(103,B$2:B218)*1</f>
        <v>217</v>
      </c>
      <c r="B218" s="17" t="s">
        <v>292</v>
      </c>
      <c r="C218" s="18" t="s">
        <v>1201</v>
      </c>
      <c r="D218" s="18" t="s">
        <v>38</v>
      </c>
      <c r="E218" s="17"/>
      <c r="F218" s="17"/>
      <c r="G218" s="17" t="s">
        <v>625</v>
      </c>
      <c r="H218" s="17" t="s">
        <v>619</v>
      </c>
      <c r="I218" s="17"/>
      <c r="J218" s="17" t="s">
        <v>39</v>
      </c>
      <c r="K218" s="17" t="s">
        <v>405</v>
      </c>
      <c r="L218" s="19"/>
      <c r="M218" s="17" t="s">
        <v>300</v>
      </c>
      <c r="N218" s="19"/>
      <c r="O218" s="17">
        <v>2</v>
      </c>
      <c r="P218" s="17"/>
      <c r="Q218" s="28"/>
      <c r="R218" s="17" t="s">
        <v>473</v>
      </c>
      <c r="S218" s="17"/>
      <c r="T218" s="35" t="s">
        <v>1363</v>
      </c>
      <c r="U218" s="28">
        <v>45894</v>
      </c>
      <c r="V218" s="28"/>
    </row>
    <row r="219" spans="1:22" ht="30" customHeight="1" x14ac:dyDescent="0.25">
      <c r="A219" s="17">
        <f>SUBTOTAL(103,B$2:B219)*1</f>
        <v>218</v>
      </c>
      <c r="B219" s="17" t="s">
        <v>292</v>
      </c>
      <c r="C219" s="18" t="s">
        <v>1202</v>
      </c>
      <c r="D219" s="18" t="s">
        <v>38</v>
      </c>
      <c r="E219" s="17"/>
      <c r="F219" s="17"/>
      <c r="G219" s="17" t="s">
        <v>99</v>
      </c>
      <c r="H219" s="17" t="s">
        <v>619</v>
      </c>
      <c r="I219" s="17"/>
      <c r="J219" s="17" t="s">
        <v>39</v>
      </c>
      <c r="K219" s="17" t="s">
        <v>405</v>
      </c>
      <c r="L219" s="19"/>
      <c r="M219" s="17" t="s">
        <v>211</v>
      </c>
      <c r="N219" s="19"/>
      <c r="O219" s="17">
        <v>1</v>
      </c>
      <c r="P219" s="17"/>
      <c r="Q219" s="28"/>
      <c r="R219" s="17" t="s">
        <v>473</v>
      </c>
      <c r="S219" s="17"/>
      <c r="T219" s="35"/>
      <c r="U219" s="28">
        <v>45866</v>
      </c>
      <c r="V219" s="28"/>
    </row>
    <row r="220" spans="1:22" ht="30" customHeight="1" x14ac:dyDescent="0.25">
      <c r="A220" s="17">
        <f>SUBTOTAL(103,B$2:B220)*1</f>
        <v>219</v>
      </c>
      <c r="B220" s="62" t="s">
        <v>2535</v>
      </c>
      <c r="C220" s="18" t="s">
        <v>2487</v>
      </c>
      <c r="D220" s="18" t="s">
        <v>38</v>
      </c>
      <c r="E220" s="17"/>
      <c r="F220" s="17"/>
      <c r="G220" s="17" t="s">
        <v>625</v>
      </c>
      <c r="H220" s="17" t="s">
        <v>619</v>
      </c>
      <c r="I220" s="17"/>
      <c r="J220" s="17" t="s">
        <v>39</v>
      </c>
      <c r="K220" s="17" t="s">
        <v>405</v>
      </c>
      <c r="L220" s="19"/>
      <c r="M220" s="17" t="s">
        <v>333</v>
      </c>
      <c r="N220" s="19"/>
      <c r="O220" s="17">
        <v>3</v>
      </c>
      <c r="P220" s="17"/>
      <c r="Q220" s="28"/>
      <c r="R220" s="17" t="s">
        <v>473</v>
      </c>
      <c r="S220" s="17"/>
      <c r="T220" s="35" t="s">
        <v>1397</v>
      </c>
      <c r="U220" s="28">
        <v>46041</v>
      </c>
      <c r="V220" s="28"/>
    </row>
    <row r="221" spans="1:22" ht="30" customHeight="1" x14ac:dyDescent="0.25">
      <c r="A221" s="17">
        <f>SUBTOTAL(103,B$2:B221)*1</f>
        <v>220</v>
      </c>
      <c r="B221" s="17" t="s">
        <v>292</v>
      </c>
      <c r="C221" s="18" t="s">
        <v>1295</v>
      </c>
      <c r="D221" s="18" t="s">
        <v>38</v>
      </c>
      <c r="E221" s="17"/>
      <c r="F221" s="17"/>
      <c r="G221" s="17" t="s">
        <v>625</v>
      </c>
      <c r="H221" s="17" t="s">
        <v>619</v>
      </c>
      <c r="I221" s="17"/>
      <c r="J221" s="17" t="s">
        <v>39</v>
      </c>
      <c r="K221" s="17" t="s">
        <v>405</v>
      </c>
      <c r="L221" s="19"/>
      <c r="M221" s="17" t="s">
        <v>211</v>
      </c>
      <c r="N221" s="19"/>
      <c r="O221" s="17">
        <v>1</v>
      </c>
      <c r="P221" s="17"/>
      <c r="Q221" s="28"/>
      <c r="R221" s="17" t="s">
        <v>473</v>
      </c>
      <c r="S221" s="17"/>
      <c r="T221" s="35" t="s">
        <v>1337</v>
      </c>
      <c r="U221" s="28">
        <v>45887</v>
      </c>
      <c r="V221" s="28"/>
    </row>
    <row r="222" spans="1:22" ht="30" customHeight="1" x14ac:dyDescent="0.25">
      <c r="A222" s="17">
        <f>SUBTOTAL(103,B$2:B222)*1</f>
        <v>221</v>
      </c>
      <c r="B222" s="17" t="s">
        <v>292</v>
      </c>
      <c r="C222" s="18" t="s">
        <v>1296</v>
      </c>
      <c r="D222" s="18" t="s">
        <v>38</v>
      </c>
      <c r="E222" s="17"/>
      <c r="F222" s="17"/>
      <c r="G222" s="17" t="s">
        <v>625</v>
      </c>
      <c r="H222" s="17" t="s">
        <v>619</v>
      </c>
      <c r="I222" s="17"/>
      <c r="J222" s="17" t="s">
        <v>39</v>
      </c>
      <c r="K222" s="17" t="s">
        <v>405</v>
      </c>
      <c r="L222" s="19"/>
      <c r="M222" s="17" t="s">
        <v>211</v>
      </c>
      <c r="N222" s="19"/>
      <c r="O222" s="17">
        <v>1</v>
      </c>
      <c r="P222" s="17"/>
      <c r="Q222" s="28"/>
      <c r="R222" s="17" t="s">
        <v>473</v>
      </c>
      <c r="S222" s="17"/>
      <c r="T222" s="35" t="s">
        <v>1338</v>
      </c>
      <c r="U222" s="28">
        <v>45887</v>
      </c>
      <c r="V222" s="28"/>
    </row>
    <row r="223" spans="1:22" ht="30" customHeight="1" x14ac:dyDescent="0.25">
      <c r="A223" s="17">
        <f>SUBTOTAL(103,B$2:B223)*1</f>
        <v>222</v>
      </c>
      <c r="B223" s="17" t="s">
        <v>292</v>
      </c>
      <c r="C223" s="18" t="s">
        <v>1297</v>
      </c>
      <c r="D223" s="18" t="s">
        <v>38</v>
      </c>
      <c r="E223" s="17"/>
      <c r="F223" s="17"/>
      <c r="G223" s="17" t="s">
        <v>82</v>
      </c>
      <c r="H223" s="17" t="s">
        <v>619</v>
      </c>
      <c r="I223" s="17"/>
      <c r="J223" s="17" t="s">
        <v>39</v>
      </c>
      <c r="K223" s="17" t="s">
        <v>405</v>
      </c>
      <c r="L223" s="19"/>
      <c r="M223" s="17" t="s">
        <v>211</v>
      </c>
      <c r="N223" s="19"/>
      <c r="O223" s="17">
        <v>1</v>
      </c>
      <c r="P223" s="17"/>
      <c r="Q223" s="28"/>
      <c r="R223" s="17" t="s">
        <v>473</v>
      </c>
      <c r="S223" s="17"/>
      <c r="T223" s="35" t="s">
        <v>1339</v>
      </c>
      <c r="U223" s="28">
        <v>45887</v>
      </c>
      <c r="V223" s="28"/>
    </row>
    <row r="224" spans="1:22" ht="30" customHeight="1" x14ac:dyDescent="0.25">
      <c r="A224" s="17">
        <f>SUBTOTAL(103,B$2:B224)*1</f>
        <v>223</v>
      </c>
      <c r="B224" s="17" t="s">
        <v>292</v>
      </c>
      <c r="C224" s="18" t="s">
        <v>2054</v>
      </c>
      <c r="D224" s="18" t="s">
        <v>38</v>
      </c>
      <c r="E224" s="17"/>
      <c r="F224" s="17"/>
      <c r="G224" s="17" t="s">
        <v>82</v>
      </c>
      <c r="H224" s="17" t="s">
        <v>619</v>
      </c>
      <c r="I224" s="17"/>
      <c r="J224" s="17" t="s">
        <v>39</v>
      </c>
      <c r="K224" s="17" t="s">
        <v>405</v>
      </c>
      <c r="L224" s="19"/>
      <c r="M224" s="17" t="s">
        <v>211</v>
      </c>
      <c r="N224" s="19"/>
      <c r="O224" s="17">
        <v>2</v>
      </c>
      <c r="P224" s="17"/>
      <c r="Q224" s="28"/>
      <c r="R224" s="17" t="s">
        <v>473</v>
      </c>
      <c r="S224" s="17"/>
      <c r="T224" s="35" t="s">
        <v>1397</v>
      </c>
      <c r="U224" s="28">
        <v>46006</v>
      </c>
      <c r="V224" s="17"/>
    </row>
    <row r="225" spans="1:23" ht="30" customHeight="1" x14ac:dyDescent="0.25">
      <c r="A225" s="17">
        <f>SUBTOTAL(103,B$2:B225)*1</f>
        <v>224</v>
      </c>
      <c r="B225" s="17" t="s">
        <v>292</v>
      </c>
      <c r="C225" s="18" t="s">
        <v>2106</v>
      </c>
      <c r="D225" s="18" t="s">
        <v>38</v>
      </c>
      <c r="E225" s="17"/>
      <c r="F225" s="17"/>
      <c r="G225" s="17" t="s">
        <v>625</v>
      </c>
      <c r="H225" s="17" t="s">
        <v>619</v>
      </c>
      <c r="I225" s="17"/>
      <c r="J225" s="17" t="s">
        <v>39</v>
      </c>
      <c r="K225" s="17" t="s">
        <v>405</v>
      </c>
      <c r="L225" s="19"/>
      <c r="M225" s="17" t="s">
        <v>300</v>
      </c>
      <c r="N225" s="19"/>
      <c r="O225" s="17">
        <v>2</v>
      </c>
      <c r="P225" s="17"/>
      <c r="Q225" s="28"/>
      <c r="R225" s="17" t="s">
        <v>473</v>
      </c>
      <c r="S225" s="17"/>
      <c r="T225" s="35" t="s">
        <v>1397</v>
      </c>
      <c r="U225" s="28">
        <v>46006</v>
      </c>
      <c r="V225" s="17"/>
    </row>
    <row r="226" spans="1:23" ht="35.5" customHeight="1" x14ac:dyDescent="0.25">
      <c r="A226" s="17">
        <f>SUBTOTAL(103,B$2:B226)*1</f>
        <v>225</v>
      </c>
      <c r="B226" s="17" t="s">
        <v>1886</v>
      </c>
      <c r="C226" s="18" t="s">
        <v>2133</v>
      </c>
      <c r="D226" s="18" t="s">
        <v>314</v>
      </c>
      <c r="E226" s="17"/>
      <c r="F226" s="17"/>
      <c r="G226" s="17" t="s">
        <v>82</v>
      </c>
      <c r="H226" s="17" t="s">
        <v>619</v>
      </c>
      <c r="I226" s="17"/>
      <c r="J226" s="17" t="s">
        <v>39</v>
      </c>
      <c r="K226" s="17" t="s">
        <v>405</v>
      </c>
      <c r="L226" s="19"/>
      <c r="M226" s="17" t="s">
        <v>300</v>
      </c>
      <c r="N226" s="19"/>
      <c r="O226" s="17">
        <v>3</v>
      </c>
      <c r="P226" s="17"/>
      <c r="Q226" s="28"/>
      <c r="R226" s="17" t="s">
        <v>473</v>
      </c>
      <c r="S226" s="17"/>
      <c r="T226" s="35" t="s">
        <v>2136</v>
      </c>
      <c r="U226" s="28">
        <v>46013</v>
      </c>
      <c r="V226" s="17"/>
    </row>
    <row r="227" spans="1:23" ht="30" customHeight="1" x14ac:dyDescent="0.25">
      <c r="A227" s="17">
        <f>SUBTOTAL(103,B$2:B227)*1</f>
        <v>226</v>
      </c>
      <c r="B227" s="17" t="s">
        <v>292</v>
      </c>
      <c r="C227" s="18" t="s">
        <v>138</v>
      </c>
      <c r="D227" s="17" t="s">
        <v>38</v>
      </c>
      <c r="E227" s="17"/>
      <c r="F227" s="17"/>
      <c r="G227" s="17" t="s">
        <v>63</v>
      </c>
      <c r="H227" s="17" t="s">
        <v>622</v>
      </c>
      <c r="I227" s="17"/>
      <c r="J227" s="17" t="s">
        <v>139</v>
      </c>
      <c r="K227" s="17" t="s">
        <v>429</v>
      </c>
      <c r="L227" s="19"/>
      <c r="M227" s="17" t="s">
        <v>19</v>
      </c>
      <c r="N227" s="19"/>
      <c r="O227" s="17">
        <v>1</v>
      </c>
      <c r="P227" s="17"/>
      <c r="Q227" s="28"/>
      <c r="R227" s="17" t="s">
        <v>473</v>
      </c>
      <c r="S227" s="17"/>
      <c r="T227" s="20"/>
      <c r="U227" s="28"/>
      <c r="V227" s="17"/>
    </row>
    <row r="228" spans="1:23" ht="30" customHeight="1" x14ac:dyDescent="0.25">
      <c r="A228" s="17">
        <f>SUBTOTAL(103,B$2:B228)*1</f>
        <v>227</v>
      </c>
      <c r="B228" s="17" t="s">
        <v>292</v>
      </c>
      <c r="C228" s="18" t="s">
        <v>650</v>
      </c>
      <c r="D228" s="17" t="s">
        <v>30</v>
      </c>
      <c r="E228" s="17" t="s">
        <v>105</v>
      </c>
      <c r="F228" s="17"/>
      <c r="G228" s="17" t="s">
        <v>106</v>
      </c>
      <c r="H228" s="17" t="s">
        <v>618</v>
      </c>
      <c r="I228" s="17" t="s">
        <v>651</v>
      </c>
      <c r="J228" s="17" t="s">
        <v>422</v>
      </c>
      <c r="K228" s="17" t="s">
        <v>404</v>
      </c>
      <c r="L228" s="19"/>
      <c r="M228" s="17" t="s">
        <v>19</v>
      </c>
      <c r="N228" s="19"/>
      <c r="O228" s="17">
        <v>1</v>
      </c>
      <c r="P228" s="17"/>
      <c r="Q228" s="28"/>
      <c r="R228" s="17" t="s">
        <v>473</v>
      </c>
      <c r="S228" s="17"/>
      <c r="T228" s="20"/>
      <c r="U228" s="28"/>
      <c r="V228" s="17"/>
    </row>
    <row r="229" spans="1:23" ht="30" customHeight="1" x14ac:dyDescent="0.25">
      <c r="A229" s="17">
        <f>SUBTOTAL(103,B$2:B229)*1</f>
        <v>228</v>
      </c>
      <c r="B229" s="17" t="s">
        <v>292</v>
      </c>
      <c r="C229" s="18" t="s">
        <v>2488</v>
      </c>
      <c r="D229" s="17" t="s">
        <v>38</v>
      </c>
      <c r="E229" s="17"/>
      <c r="F229" s="17"/>
      <c r="G229" s="17" t="s">
        <v>82</v>
      </c>
      <c r="H229" s="17" t="s">
        <v>619</v>
      </c>
      <c r="I229" s="17"/>
      <c r="J229" s="17" t="s">
        <v>1894</v>
      </c>
      <c r="K229" s="17" t="s">
        <v>405</v>
      </c>
      <c r="L229" s="19"/>
      <c r="M229" s="17" t="s">
        <v>53</v>
      </c>
      <c r="N229" s="19"/>
      <c r="O229" s="17">
        <v>2</v>
      </c>
      <c r="P229" s="17"/>
      <c r="Q229" s="28"/>
      <c r="R229" s="17" t="s">
        <v>473</v>
      </c>
      <c r="S229" s="17"/>
      <c r="T229" s="20" t="s">
        <v>1397</v>
      </c>
      <c r="U229" s="28">
        <v>46020</v>
      </c>
      <c r="V229" s="17"/>
    </row>
    <row r="230" spans="1:23" ht="30" customHeight="1" x14ac:dyDescent="0.25">
      <c r="A230" s="17">
        <f>SUBTOTAL(103,B$2:B230)*1</f>
        <v>229</v>
      </c>
      <c r="B230" s="17" t="s">
        <v>292</v>
      </c>
      <c r="C230" s="18" t="s">
        <v>195</v>
      </c>
      <c r="D230" s="17" t="s">
        <v>38</v>
      </c>
      <c r="E230" s="17"/>
      <c r="F230" s="17"/>
      <c r="G230" s="17" t="s">
        <v>6</v>
      </c>
      <c r="H230" s="17" t="s">
        <v>618</v>
      </c>
      <c r="I230" s="17" t="s">
        <v>657</v>
      </c>
      <c r="J230" s="17" t="s">
        <v>196</v>
      </c>
      <c r="K230" s="17" t="s">
        <v>429</v>
      </c>
      <c r="L230" s="19"/>
      <c r="M230" s="17" t="s">
        <v>42</v>
      </c>
      <c r="N230" s="19"/>
      <c r="O230" s="17">
        <v>1</v>
      </c>
      <c r="P230" s="17"/>
      <c r="Q230" s="28"/>
      <c r="R230" s="17" t="s">
        <v>473</v>
      </c>
      <c r="S230" s="17"/>
      <c r="T230" s="20"/>
      <c r="U230" s="28"/>
      <c r="V230" s="17"/>
    </row>
    <row r="231" spans="1:23" ht="30" customHeight="1" x14ac:dyDescent="0.25">
      <c r="A231" s="17">
        <f>SUBTOTAL(103,B$2:B231)*1</f>
        <v>230</v>
      </c>
      <c r="B231" s="62" t="s">
        <v>2535</v>
      </c>
      <c r="C231" s="18" t="s">
        <v>2490</v>
      </c>
      <c r="D231" s="18" t="s">
        <v>38</v>
      </c>
      <c r="E231" s="17"/>
      <c r="F231" s="17"/>
      <c r="G231" s="17" t="s">
        <v>136</v>
      </c>
      <c r="H231" s="17" t="s">
        <v>620</v>
      </c>
      <c r="I231" s="17"/>
      <c r="J231" s="17" t="s">
        <v>1279</v>
      </c>
      <c r="K231" s="17" t="s">
        <v>405</v>
      </c>
      <c r="L231" s="19"/>
      <c r="M231" s="17" t="s">
        <v>333</v>
      </c>
      <c r="N231" s="19"/>
      <c r="O231" s="17">
        <v>13</v>
      </c>
      <c r="P231" s="17"/>
      <c r="Q231" s="28"/>
      <c r="R231" s="17" t="s">
        <v>473</v>
      </c>
      <c r="S231" s="17"/>
      <c r="T231" s="35" t="s">
        <v>2797</v>
      </c>
      <c r="U231" s="28">
        <v>46097</v>
      </c>
      <c r="V231" s="28"/>
    </row>
    <row r="232" spans="1:23" ht="30" customHeight="1" x14ac:dyDescent="0.25">
      <c r="A232" s="17">
        <f>SUBTOTAL(103,B$2:B232)*1</f>
        <v>231</v>
      </c>
      <c r="B232" s="17" t="s">
        <v>2535</v>
      </c>
      <c r="C232" s="18" t="s">
        <v>2840</v>
      </c>
      <c r="D232" s="18" t="s">
        <v>38</v>
      </c>
      <c r="E232" s="17"/>
      <c r="F232" s="17"/>
      <c r="G232" s="17" t="s">
        <v>136</v>
      </c>
      <c r="H232" s="17" t="s">
        <v>620</v>
      </c>
      <c r="I232" s="17"/>
      <c r="J232" s="17" t="s">
        <v>1279</v>
      </c>
      <c r="K232" s="17" t="s">
        <v>405</v>
      </c>
      <c r="L232" s="19"/>
      <c r="M232" s="17" t="s">
        <v>300</v>
      </c>
      <c r="N232" s="19"/>
      <c r="O232" s="17">
        <v>2</v>
      </c>
      <c r="P232" s="17"/>
      <c r="Q232" s="28"/>
      <c r="R232" s="17" t="s">
        <v>473</v>
      </c>
      <c r="S232" s="35"/>
      <c r="T232" s="35" t="s">
        <v>2889</v>
      </c>
      <c r="U232" s="28">
        <v>46097</v>
      </c>
      <c r="V232" s="28"/>
    </row>
    <row r="233" spans="1:23" ht="30" customHeight="1" x14ac:dyDescent="0.25">
      <c r="A233" s="17">
        <f>SUBTOTAL(103,B$2:B233)*1</f>
        <v>232</v>
      </c>
      <c r="B233" s="17" t="s">
        <v>292</v>
      </c>
      <c r="C233" s="18" t="s">
        <v>1365</v>
      </c>
      <c r="D233" s="18" t="s">
        <v>38</v>
      </c>
      <c r="E233" s="17"/>
      <c r="F233" s="17"/>
      <c r="G233" s="17" t="s">
        <v>82</v>
      </c>
      <c r="H233" s="17" t="s">
        <v>619</v>
      </c>
      <c r="I233" s="17"/>
      <c r="J233" s="17" t="s">
        <v>1364</v>
      </c>
      <c r="K233" s="17" t="s">
        <v>405</v>
      </c>
      <c r="L233" s="19"/>
      <c r="M233" s="17" t="s">
        <v>211</v>
      </c>
      <c r="N233" s="19"/>
      <c r="O233" s="17">
        <v>1</v>
      </c>
      <c r="P233" s="17"/>
      <c r="Q233" s="28"/>
      <c r="R233" s="17" t="s">
        <v>473</v>
      </c>
      <c r="S233" s="17"/>
      <c r="T233" s="35" t="s">
        <v>1374</v>
      </c>
      <c r="U233" s="28">
        <v>45894</v>
      </c>
      <c r="V233" s="28"/>
    </row>
    <row r="234" spans="1:23" ht="30" customHeight="1" x14ac:dyDescent="0.25">
      <c r="A234" s="17">
        <f>SUBTOTAL(103,B$2:B234)*1</f>
        <v>233</v>
      </c>
      <c r="B234" s="17" t="s">
        <v>292</v>
      </c>
      <c r="C234" s="18" t="s">
        <v>55</v>
      </c>
      <c r="D234" s="17" t="s">
        <v>13</v>
      </c>
      <c r="E234" s="17" t="s">
        <v>21</v>
      </c>
      <c r="F234" s="17"/>
      <c r="G234" s="17" t="s">
        <v>36</v>
      </c>
      <c r="H234" s="17" t="s">
        <v>624</v>
      </c>
      <c r="I234" s="17"/>
      <c r="J234" s="17" t="s">
        <v>56</v>
      </c>
      <c r="K234" s="17" t="s">
        <v>404</v>
      </c>
      <c r="L234" s="19"/>
      <c r="M234" s="17" t="s">
        <v>42</v>
      </c>
      <c r="N234" s="19"/>
      <c r="O234" s="17"/>
      <c r="P234" s="17"/>
      <c r="Q234" s="28"/>
      <c r="R234" s="17" t="s">
        <v>474</v>
      </c>
      <c r="S234" s="17"/>
      <c r="T234" s="20"/>
      <c r="U234" s="28"/>
      <c r="V234" s="17"/>
    </row>
    <row r="235" spans="1:23" ht="45" x14ac:dyDescent="0.25">
      <c r="A235" s="17">
        <f>SUBTOTAL(103,B$2:B235)*1</f>
        <v>234</v>
      </c>
      <c r="B235" s="17" t="s">
        <v>292</v>
      </c>
      <c r="C235" s="18" t="s">
        <v>1720</v>
      </c>
      <c r="D235" s="18" t="s">
        <v>325</v>
      </c>
      <c r="E235" s="17"/>
      <c r="F235" s="17"/>
      <c r="G235" s="17" t="s">
        <v>36</v>
      </c>
      <c r="H235" s="17" t="s">
        <v>620</v>
      </c>
      <c r="I235" s="17"/>
      <c r="J235" s="17" t="s">
        <v>56</v>
      </c>
      <c r="K235" s="17" t="s">
        <v>404</v>
      </c>
      <c r="L235" s="19"/>
      <c r="M235" s="17" t="s">
        <v>211</v>
      </c>
      <c r="N235" s="19"/>
      <c r="O235" s="17">
        <v>1</v>
      </c>
      <c r="P235" s="17"/>
      <c r="Q235" s="28"/>
      <c r="R235" s="17" t="s">
        <v>2605</v>
      </c>
      <c r="S235" s="17"/>
      <c r="T235" s="35" t="s">
        <v>1808</v>
      </c>
      <c r="U235" s="28">
        <v>45964</v>
      </c>
      <c r="V235" s="17" t="s">
        <v>2121</v>
      </c>
    </row>
    <row r="236" spans="1:23" ht="30" customHeight="1" x14ac:dyDescent="0.25">
      <c r="A236" s="17">
        <f>SUBTOTAL(103,B$2:B236)*1</f>
        <v>235</v>
      </c>
      <c r="B236" s="17" t="s">
        <v>292</v>
      </c>
      <c r="C236" s="18" t="s">
        <v>66</v>
      </c>
      <c r="D236" s="17" t="s">
        <v>13</v>
      </c>
      <c r="E236" s="17" t="s">
        <v>21</v>
      </c>
      <c r="F236" s="17"/>
      <c r="G236" s="17" t="s">
        <v>16</v>
      </c>
      <c r="H236" s="17" t="s">
        <v>618</v>
      </c>
      <c r="I236" s="17" t="s">
        <v>628</v>
      </c>
      <c r="J236" s="17" t="s">
        <v>67</v>
      </c>
      <c r="K236" s="17" t="s">
        <v>404</v>
      </c>
      <c r="L236" s="19">
        <v>1200000</v>
      </c>
      <c r="M236" s="17" t="s">
        <v>28</v>
      </c>
      <c r="N236" s="19"/>
      <c r="O236" s="17"/>
      <c r="P236" s="17"/>
      <c r="Q236" s="28"/>
      <c r="R236" s="17" t="s">
        <v>482</v>
      </c>
      <c r="S236" s="17"/>
      <c r="T236" s="20"/>
      <c r="U236" s="28"/>
      <c r="V236" s="17"/>
    </row>
    <row r="237" spans="1:23" ht="30" customHeight="1" x14ac:dyDescent="0.25">
      <c r="A237" s="17">
        <f>SUBTOTAL(103,B$2:B237)*1</f>
        <v>236</v>
      </c>
      <c r="B237" s="17" t="s">
        <v>292</v>
      </c>
      <c r="C237" s="18" t="s">
        <v>868</v>
      </c>
      <c r="D237" s="17" t="s">
        <v>90</v>
      </c>
      <c r="E237" s="17" t="s">
        <v>97</v>
      </c>
      <c r="F237" s="17"/>
      <c r="G237" s="17" t="s">
        <v>16</v>
      </c>
      <c r="H237" s="17" t="s">
        <v>618</v>
      </c>
      <c r="I237" s="17" t="s">
        <v>628</v>
      </c>
      <c r="J237" s="17" t="s">
        <v>867</v>
      </c>
      <c r="K237" s="17" t="s">
        <v>404</v>
      </c>
      <c r="L237" s="19"/>
      <c r="M237" s="17" t="s">
        <v>42</v>
      </c>
      <c r="N237" s="19"/>
      <c r="O237" s="17"/>
      <c r="P237" s="17"/>
      <c r="Q237" s="28"/>
      <c r="R237" s="17" t="s">
        <v>474</v>
      </c>
      <c r="S237" s="17"/>
      <c r="T237" s="20" t="s">
        <v>869</v>
      </c>
      <c r="U237" s="28">
        <v>45828</v>
      </c>
      <c r="V237" s="17" t="s">
        <v>870</v>
      </c>
      <c r="W237" s="52"/>
    </row>
    <row r="238" spans="1:23" ht="30" customHeight="1" x14ac:dyDescent="0.25">
      <c r="A238" s="17">
        <f>SUBTOTAL(103,B$2:B238)*1</f>
        <v>237</v>
      </c>
      <c r="B238" s="17" t="s">
        <v>292</v>
      </c>
      <c r="C238" s="18" t="s">
        <v>70</v>
      </c>
      <c r="D238" s="17" t="s">
        <v>13</v>
      </c>
      <c r="E238" s="17" t="s">
        <v>21</v>
      </c>
      <c r="F238" s="17"/>
      <c r="G238" s="17" t="s">
        <v>71</v>
      </c>
      <c r="H238" s="17" t="s">
        <v>622</v>
      </c>
      <c r="I238" s="17" t="s">
        <v>658</v>
      </c>
      <c r="J238" s="17" t="s">
        <v>411</v>
      </c>
      <c r="K238" s="17" t="s">
        <v>412</v>
      </c>
      <c r="L238" s="19"/>
      <c r="M238" s="17" t="s">
        <v>19</v>
      </c>
      <c r="N238" s="19"/>
      <c r="O238" s="17">
        <v>3</v>
      </c>
      <c r="P238" s="17"/>
      <c r="Q238" s="28"/>
      <c r="R238" s="17" t="s">
        <v>482</v>
      </c>
      <c r="S238" s="17"/>
      <c r="T238" s="20" t="s">
        <v>1857</v>
      </c>
      <c r="U238" s="28">
        <v>45978</v>
      </c>
      <c r="V238" s="17"/>
    </row>
    <row r="239" spans="1:23" ht="30" customHeight="1" x14ac:dyDescent="0.25">
      <c r="A239" s="17">
        <f>SUBTOTAL(103,B$2:B239)*1</f>
        <v>238</v>
      </c>
      <c r="B239" s="17" t="s">
        <v>292</v>
      </c>
      <c r="C239" s="18" t="s">
        <v>74</v>
      </c>
      <c r="D239" s="17" t="s">
        <v>31</v>
      </c>
      <c r="E239" s="17" t="s">
        <v>57</v>
      </c>
      <c r="F239" s="17"/>
      <c r="G239" s="17" t="s">
        <v>36</v>
      </c>
      <c r="H239" s="17" t="s">
        <v>624</v>
      </c>
      <c r="I239" s="17"/>
      <c r="J239" s="17" t="s">
        <v>75</v>
      </c>
      <c r="K239" s="17" t="s">
        <v>404</v>
      </c>
      <c r="L239" s="19"/>
      <c r="M239" s="17" t="s">
        <v>19</v>
      </c>
      <c r="N239" s="19"/>
      <c r="O239" s="17">
        <v>2</v>
      </c>
      <c r="P239" s="17"/>
      <c r="Q239" s="28"/>
      <c r="R239" s="17" t="s">
        <v>479</v>
      </c>
      <c r="S239" s="17"/>
      <c r="T239" s="20"/>
      <c r="U239" s="28"/>
      <c r="V239" s="17"/>
    </row>
    <row r="240" spans="1:23" ht="30" x14ac:dyDescent="0.25">
      <c r="A240" s="17">
        <f>SUBTOTAL(103,B$2:B240)*1</f>
        <v>239</v>
      </c>
      <c r="B240" s="17" t="s">
        <v>292</v>
      </c>
      <c r="C240" s="18" t="s">
        <v>1983</v>
      </c>
      <c r="D240" s="18" t="s">
        <v>325</v>
      </c>
      <c r="E240" s="17"/>
      <c r="F240" s="17"/>
      <c r="G240" s="17" t="s">
        <v>36</v>
      </c>
      <c r="H240" s="17" t="s">
        <v>620</v>
      </c>
      <c r="I240" s="17"/>
      <c r="J240" s="17" t="s">
        <v>75</v>
      </c>
      <c r="K240" s="17" t="s">
        <v>404</v>
      </c>
      <c r="L240" s="19"/>
      <c r="M240" s="17" t="s">
        <v>211</v>
      </c>
      <c r="N240" s="19"/>
      <c r="O240" s="17">
        <v>1</v>
      </c>
      <c r="P240" s="17"/>
      <c r="Q240" s="28"/>
      <c r="R240" s="17" t="s">
        <v>474</v>
      </c>
      <c r="S240" s="17"/>
      <c r="T240" s="35" t="s">
        <v>2021</v>
      </c>
      <c r="U240" s="28">
        <v>45992</v>
      </c>
      <c r="V240" s="17"/>
    </row>
    <row r="241" spans="1:23" ht="30" customHeight="1" x14ac:dyDescent="0.25">
      <c r="A241" s="17">
        <f>SUBTOTAL(103,B$2:B241)*1</f>
        <v>240</v>
      </c>
      <c r="B241" s="17" t="s">
        <v>292</v>
      </c>
      <c r="C241" s="18" t="s">
        <v>76</v>
      </c>
      <c r="D241" s="17" t="s">
        <v>31</v>
      </c>
      <c r="E241" s="17" t="s">
        <v>57</v>
      </c>
      <c r="F241" s="17"/>
      <c r="G241" s="17" t="s">
        <v>6</v>
      </c>
      <c r="H241" s="17" t="s">
        <v>618</v>
      </c>
      <c r="I241" s="17" t="s">
        <v>656</v>
      </c>
      <c r="J241" s="17" t="s">
        <v>415</v>
      </c>
      <c r="K241" s="17" t="s">
        <v>414</v>
      </c>
      <c r="L241" s="19"/>
      <c r="M241" s="17" t="s">
        <v>19</v>
      </c>
      <c r="N241" s="19"/>
      <c r="O241" s="17"/>
      <c r="P241" s="17"/>
      <c r="Q241" s="28"/>
      <c r="R241" s="17" t="s">
        <v>479</v>
      </c>
      <c r="S241" s="17"/>
      <c r="T241" s="20"/>
      <c r="U241" s="28"/>
      <c r="V241" s="17"/>
    </row>
    <row r="242" spans="1:23" ht="60" x14ac:dyDescent="0.25">
      <c r="A242" s="17">
        <f>SUBTOTAL(103,B$2:B242)*1</f>
        <v>241</v>
      </c>
      <c r="B242" s="62" t="s">
        <v>2535</v>
      </c>
      <c r="C242" s="18" t="s">
        <v>77</v>
      </c>
      <c r="D242" s="17" t="s">
        <v>78</v>
      </c>
      <c r="E242" s="17"/>
      <c r="F242" s="17"/>
      <c r="G242" s="17" t="s">
        <v>79</v>
      </c>
      <c r="H242" s="17" t="s">
        <v>624</v>
      </c>
      <c r="I242" s="17" t="s">
        <v>659</v>
      </c>
      <c r="J242" s="17" t="s">
        <v>80</v>
      </c>
      <c r="K242" s="17" t="s">
        <v>405</v>
      </c>
      <c r="L242" s="19"/>
      <c r="M242" s="17" t="s">
        <v>19</v>
      </c>
      <c r="N242" s="19"/>
      <c r="O242" s="17">
        <v>2</v>
      </c>
      <c r="P242" s="17"/>
      <c r="Q242" s="28"/>
      <c r="R242" s="17" t="s">
        <v>479</v>
      </c>
      <c r="S242" s="17"/>
      <c r="T242" s="20" t="s">
        <v>2569</v>
      </c>
      <c r="U242" s="28">
        <v>46034</v>
      </c>
      <c r="V242" s="17"/>
    </row>
    <row r="243" spans="1:23" ht="30" customHeight="1" x14ac:dyDescent="0.25">
      <c r="A243" s="17">
        <f>SUBTOTAL(103,B$2:B243)*1</f>
        <v>242</v>
      </c>
      <c r="B243" s="17" t="s">
        <v>292</v>
      </c>
      <c r="C243" s="18" t="s">
        <v>81</v>
      </c>
      <c r="D243" s="17" t="s">
        <v>78</v>
      </c>
      <c r="E243" s="17"/>
      <c r="F243" s="17"/>
      <c r="G243" s="17" t="s">
        <v>82</v>
      </c>
      <c r="H243" s="17" t="s">
        <v>622</v>
      </c>
      <c r="I243" s="17" t="s">
        <v>655</v>
      </c>
      <c r="J243" s="17" t="s">
        <v>83</v>
      </c>
      <c r="K243" s="17" t="s">
        <v>406</v>
      </c>
      <c r="L243" s="19"/>
      <c r="M243" s="17" t="s">
        <v>19</v>
      </c>
      <c r="N243" s="19"/>
      <c r="O243" s="17"/>
      <c r="P243" s="17"/>
      <c r="Q243" s="28"/>
      <c r="R243" s="17" t="s">
        <v>479</v>
      </c>
      <c r="S243" s="17"/>
      <c r="T243" s="20"/>
      <c r="U243" s="28"/>
      <c r="V243" s="17"/>
    </row>
    <row r="244" spans="1:23" ht="30" customHeight="1" x14ac:dyDescent="0.25">
      <c r="A244" s="17">
        <f>SUBTOTAL(103,B$2:B244)*1</f>
        <v>243</v>
      </c>
      <c r="B244" s="17" t="s">
        <v>1886</v>
      </c>
      <c r="C244" s="18" t="s">
        <v>2084</v>
      </c>
      <c r="D244" s="17" t="s">
        <v>1287</v>
      </c>
      <c r="E244" s="17"/>
      <c r="F244" s="17"/>
      <c r="G244" s="17" t="s">
        <v>341</v>
      </c>
      <c r="H244" s="17" t="s">
        <v>923</v>
      </c>
      <c r="I244" s="17"/>
      <c r="J244" s="17" t="s">
        <v>2083</v>
      </c>
      <c r="K244" s="17" t="s">
        <v>748</v>
      </c>
      <c r="L244" s="19"/>
      <c r="M244" s="17" t="s">
        <v>211</v>
      </c>
      <c r="N244" s="19"/>
      <c r="O244" s="17">
        <v>1</v>
      </c>
      <c r="P244" s="17"/>
      <c r="Q244" s="28"/>
      <c r="R244" s="17" t="s">
        <v>529</v>
      </c>
      <c r="S244" s="17"/>
      <c r="T244" s="20" t="s">
        <v>2157</v>
      </c>
      <c r="U244" s="28">
        <v>46006</v>
      </c>
      <c r="V244" s="17"/>
    </row>
    <row r="245" spans="1:23" ht="30" customHeight="1" x14ac:dyDescent="0.25">
      <c r="A245" s="17">
        <f>SUBTOTAL(103,B$2:B245)*1</f>
        <v>244</v>
      </c>
      <c r="B245" s="17" t="s">
        <v>292</v>
      </c>
      <c r="C245" s="18" t="s">
        <v>96</v>
      </c>
      <c r="D245" s="17" t="s">
        <v>90</v>
      </c>
      <c r="E245" s="17" t="s">
        <v>97</v>
      </c>
      <c r="F245" s="17"/>
      <c r="G245" s="17" t="s">
        <v>82</v>
      </c>
      <c r="H245" s="17" t="s">
        <v>622</v>
      </c>
      <c r="I245" s="17" t="s">
        <v>638</v>
      </c>
      <c r="J245" s="17" t="s">
        <v>418</v>
      </c>
      <c r="K245" s="17" t="s">
        <v>404</v>
      </c>
      <c r="L245" s="19"/>
      <c r="M245" s="17" t="s">
        <v>60</v>
      </c>
      <c r="N245" s="19"/>
      <c r="O245" s="17"/>
      <c r="P245" s="17"/>
      <c r="Q245" s="28"/>
      <c r="R245" s="17" t="s">
        <v>474</v>
      </c>
      <c r="S245" s="17"/>
      <c r="T245" s="20"/>
      <c r="U245" s="28"/>
      <c r="V245" s="17" t="s">
        <v>852</v>
      </c>
      <c r="W245" s="52"/>
    </row>
    <row r="246" spans="1:23" ht="30" customHeight="1" x14ac:dyDescent="0.25">
      <c r="A246" s="17">
        <f>SUBTOTAL(103,B$2:B246)*1</f>
        <v>245</v>
      </c>
      <c r="B246" s="17" t="s">
        <v>292</v>
      </c>
      <c r="C246" s="18" t="s">
        <v>1098</v>
      </c>
      <c r="D246" s="18" t="s">
        <v>540</v>
      </c>
      <c r="E246" s="17"/>
      <c r="F246" s="17"/>
      <c r="G246" s="17" t="s">
        <v>82</v>
      </c>
      <c r="H246" s="17" t="s">
        <v>619</v>
      </c>
      <c r="I246" s="17"/>
      <c r="J246" s="17" t="s">
        <v>418</v>
      </c>
      <c r="K246" s="17" t="s">
        <v>404</v>
      </c>
      <c r="L246" s="19"/>
      <c r="M246" s="17" t="s">
        <v>211</v>
      </c>
      <c r="N246" s="19"/>
      <c r="O246" s="17">
        <v>1</v>
      </c>
      <c r="P246" s="17"/>
      <c r="Q246" s="28"/>
      <c r="R246" s="17" t="s">
        <v>529</v>
      </c>
      <c r="S246" s="17"/>
      <c r="T246" s="35" t="s">
        <v>1121</v>
      </c>
      <c r="U246" s="28">
        <v>45852</v>
      </c>
      <c r="V246" s="28"/>
    </row>
    <row r="247" spans="1:23" ht="15" customHeight="1" x14ac:dyDescent="0.25">
      <c r="A247" s="17">
        <f>SUBTOTAL(103,B$2:B247)*1</f>
        <v>246</v>
      </c>
      <c r="B247" s="17" t="s">
        <v>292</v>
      </c>
      <c r="C247" s="18" t="s">
        <v>1659</v>
      </c>
      <c r="D247" s="18" t="s">
        <v>1660</v>
      </c>
      <c r="E247" s="17"/>
      <c r="F247" s="17"/>
      <c r="G247" s="17" t="s">
        <v>82</v>
      </c>
      <c r="H247" s="17" t="s">
        <v>619</v>
      </c>
      <c r="I247" s="17"/>
      <c r="J247" s="17" t="s">
        <v>418</v>
      </c>
      <c r="K247" s="17" t="s">
        <v>404</v>
      </c>
      <c r="L247" s="19"/>
      <c r="M247" s="17" t="s">
        <v>300</v>
      </c>
      <c r="N247" s="19"/>
      <c r="O247" s="17">
        <v>2</v>
      </c>
      <c r="P247" s="17"/>
      <c r="Q247" s="28"/>
      <c r="R247" s="17" t="s">
        <v>475</v>
      </c>
      <c r="S247" s="17"/>
      <c r="T247" s="35" t="s">
        <v>1730</v>
      </c>
      <c r="U247" s="28">
        <v>45964</v>
      </c>
      <c r="V247" s="17"/>
    </row>
    <row r="248" spans="1:23" ht="30" customHeight="1" x14ac:dyDescent="0.25">
      <c r="A248" s="17">
        <f>SUBTOTAL(103,B$2:B248)*1</f>
        <v>247</v>
      </c>
      <c r="B248" s="62" t="s">
        <v>2535</v>
      </c>
      <c r="C248" s="18" t="s">
        <v>100</v>
      </c>
      <c r="D248" s="17" t="s">
        <v>90</v>
      </c>
      <c r="E248" s="17" t="s">
        <v>97</v>
      </c>
      <c r="F248" s="17"/>
      <c r="G248" s="17" t="s">
        <v>16</v>
      </c>
      <c r="H248" s="17" t="s">
        <v>623</v>
      </c>
      <c r="I248" s="17" t="s">
        <v>628</v>
      </c>
      <c r="J248" s="17" t="s">
        <v>649</v>
      </c>
      <c r="K248" s="17" t="s">
        <v>404</v>
      </c>
      <c r="L248" s="19">
        <v>1420000</v>
      </c>
      <c r="M248" s="17" t="s">
        <v>333</v>
      </c>
      <c r="N248" s="19"/>
      <c r="O248" s="17">
        <v>21</v>
      </c>
      <c r="P248" s="17"/>
      <c r="Q248" s="28"/>
      <c r="R248" s="17" t="s">
        <v>474</v>
      </c>
      <c r="S248" s="17"/>
      <c r="T248" s="20" t="s">
        <v>2645</v>
      </c>
      <c r="U248" s="28">
        <v>46041</v>
      </c>
      <c r="V248" s="28" t="s">
        <v>1003</v>
      </c>
      <c r="W248" s="52"/>
    </row>
    <row r="249" spans="1:23" ht="30" customHeight="1" x14ac:dyDescent="0.25">
      <c r="A249" s="17">
        <f>SUBTOTAL(103,B$2:B249)*1</f>
        <v>248</v>
      </c>
      <c r="B249" s="62" t="s">
        <v>2535</v>
      </c>
      <c r="C249" s="18" t="s">
        <v>2497</v>
      </c>
      <c r="D249" s="18" t="s">
        <v>540</v>
      </c>
      <c r="E249" s="17"/>
      <c r="F249" s="17"/>
      <c r="G249" s="17" t="s">
        <v>306</v>
      </c>
      <c r="H249" s="17" t="s">
        <v>923</v>
      </c>
      <c r="I249" s="17"/>
      <c r="J249" s="17" t="s">
        <v>2693</v>
      </c>
      <c r="K249" s="17" t="s">
        <v>748</v>
      </c>
      <c r="L249" s="19"/>
      <c r="M249" s="17" t="s">
        <v>300</v>
      </c>
      <c r="N249" s="19"/>
      <c r="O249" s="17">
        <v>2</v>
      </c>
      <c r="P249" s="17"/>
      <c r="Q249" s="28"/>
      <c r="R249" s="17" t="s">
        <v>2604</v>
      </c>
      <c r="S249" s="17"/>
      <c r="T249" s="35" t="s">
        <v>2694</v>
      </c>
      <c r="U249" s="28">
        <v>46048</v>
      </c>
      <c r="V249" s="17"/>
    </row>
    <row r="250" spans="1:23" ht="30" customHeight="1" x14ac:dyDescent="0.25">
      <c r="A250" s="17">
        <f>SUBTOTAL(103,B$2:B250)*1</f>
        <v>249</v>
      </c>
      <c r="B250" s="17" t="s">
        <v>292</v>
      </c>
      <c r="C250" s="18" t="s">
        <v>103</v>
      </c>
      <c r="D250" s="17" t="s">
        <v>31</v>
      </c>
      <c r="E250" s="17" t="s">
        <v>57</v>
      </c>
      <c r="F250" s="17"/>
      <c r="G250" s="17" t="s">
        <v>22</v>
      </c>
      <c r="H250" s="17" t="s">
        <v>623</v>
      </c>
      <c r="I250" s="17"/>
      <c r="J250" s="17" t="s">
        <v>104</v>
      </c>
      <c r="K250" s="17" t="s">
        <v>404</v>
      </c>
      <c r="L250" s="19"/>
      <c r="M250" s="17" t="s">
        <v>42</v>
      </c>
      <c r="N250" s="19"/>
      <c r="O250" s="17"/>
      <c r="P250" s="17"/>
      <c r="Q250" s="28"/>
      <c r="R250" s="17" t="s">
        <v>477</v>
      </c>
      <c r="S250" s="17"/>
      <c r="T250" s="20"/>
      <c r="U250" s="28"/>
      <c r="V250" s="17"/>
    </row>
    <row r="251" spans="1:23" ht="30" customHeight="1" x14ac:dyDescent="0.25">
      <c r="A251" s="17">
        <f>SUBTOTAL(103,B$2:B251)*1</f>
        <v>250</v>
      </c>
      <c r="B251" s="17" t="s">
        <v>292</v>
      </c>
      <c r="C251" s="18" t="s">
        <v>108</v>
      </c>
      <c r="D251" s="17" t="s">
        <v>13</v>
      </c>
      <c r="E251" s="17" t="s">
        <v>59</v>
      </c>
      <c r="F251" s="17"/>
      <c r="G251" s="17" t="s">
        <v>84</v>
      </c>
      <c r="H251" s="17" t="s">
        <v>618</v>
      </c>
      <c r="I251" s="17"/>
      <c r="J251" s="17" t="s">
        <v>423</v>
      </c>
      <c r="K251" s="17" t="s">
        <v>404</v>
      </c>
      <c r="L251" s="19"/>
      <c r="M251" s="17" t="s">
        <v>42</v>
      </c>
      <c r="N251" s="19"/>
      <c r="O251" s="17">
        <v>1</v>
      </c>
      <c r="P251" s="17"/>
      <c r="Q251" s="28"/>
      <c r="R251" s="17" t="s">
        <v>481</v>
      </c>
      <c r="S251" s="17"/>
      <c r="T251" s="20"/>
      <c r="U251" s="28"/>
      <c r="V251" s="17"/>
    </row>
    <row r="252" spans="1:23" ht="30" customHeight="1" x14ac:dyDescent="0.25">
      <c r="A252" s="17">
        <f>SUBTOTAL(103,B$2:B252)*1</f>
        <v>251</v>
      </c>
      <c r="B252" s="62" t="s">
        <v>2535</v>
      </c>
      <c r="C252" s="18" t="s">
        <v>110</v>
      </c>
      <c r="D252" s="17" t="s">
        <v>13</v>
      </c>
      <c r="E252" s="17" t="s">
        <v>46</v>
      </c>
      <c r="F252" s="17"/>
      <c r="G252" s="17" t="s">
        <v>84</v>
      </c>
      <c r="H252" s="17" t="s">
        <v>618</v>
      </c>
      <c r="I252" s="17" t="s">
        <v>545</v>
      </c>
      <c r="J252" s="17" t="s">
        <v>424</v>
      </c>
      <c r="K252" s="17" t="s">
        <v>404</v>
      </c>
      <c r="L252" s="19"/>
      <c r="M252" s="17" t="s">
        <v>300</v>
      </c>
      <c r="N252" s="19"/>
      <c r="O252" s="17">
        <v>3</v>
      </c>
      <c r="P252" s="17"/>
      <c r="Q252" s="28"/>
      <c r="R252" s="17" t="s">
        <v>482</v>
      </c>
      <c r="S252" s="17"/>
      <c r="T252" s="20" t="s">
        <v>2928</v>
      </c>
      <c r="U252" s="77">
        <v>46104</v>
      </c>
      <c r="V252" s="28"/>
    </row>
    <row r="253" spans="1:23" ht="30" customHeight="1" x14ac:dyDescent="0.25">
      <c r="A253" s="17">
        <f>SUBTOTAL(103,B$2:B253)*1</f>
        <v>252</v>
      </c>
      <c r="B253" s="17" t="s">
        <v>292</v>
      </c>
      <c r="C253" s="18" t="s">
        <v>116</v>
      </c>
      <c r="D253" s="17" t="s">
        <v>13</v>
      </c>
      <c r="E253" s="17" t="s">
        <v>21</v>
      </c>
      <c r="F253" s="17"/>
      <c r="G253" s="17" t="s">
        <v>82</v>
      </c>
      <c r="H253" s="17" t="s">
        <v>622</v>
      </c>
      <c r="I253" s="17"/>
      <c r="J253" s="17" t="s">
        <v>117</v>
      </c>
      <c r="K253" s="17" t="s">
        <v>427</v>
      </c>
      <c r="L253" s="19"/>
      <c r="M253" s="17" t="s">
        <v>60</v>
      </c>
      <c r="N253" s="19"/>
      <c r="O253" s="17" t="s">
        <v>54</v>
      </c>
      <c r="P253" s="17"/>
      <c r="Q253" s="28"/>
      <c r="R253" s="17" t="s">
        <v>482</v>
      </c>
      <c r="S253" s="17"/>
      <c r="T253" s="20"/>
      <c r="U253" s="28"/>
      <c r="V253" s="17"/>
    </row>
    <row r="254" spans="1:23" ht="30" customHeight="1" x14ac:dyDescent="0.25">
      <c r="A254" s="17">
        <f>SUBTOTAL(103,B$2:B254)*1</f>
        <v>253</v>
      </c>
      <c r="B254" s="17" t="s">
        <v>292</v>
      </c>
      <c r="C254" s="18" t="s">
        <v>118</v>
      </c>
      <c r="D254" s="17" t="s">
        <v>30</v>
      </c>
      <c r="E254" s="17" t="s">
        <v>9</v>
      </c>
      <c r="F254" s="17"/>
      <c r="G254" s="17" t="s">
        <v>48</v>
      </c>
      <c r="H254" s="17" t="s">
        <v>618</v>
      </c>
      <c r="I254" s="17" t="s">
        <v>654</v>
      </c>
      <c r="J254" s="17" t="s">
        <v>426</v>
      </c>
      <c r="K254" s="17" t="s">
        <v>428</v>
      </c>
      <c r="L254" s="19"/>
      <c r="M254" s="17" t="s">
        <v>19</v>
      </c>
      <c r="N254" s="19"/>
      <c r="O254" s="17"/>
      <c r="P254" s="17"/>
      <c r="Q254" s="28"/>
      <c r="R254" s="17" t="s">
        <v>535</v>
      </c>
      <c r="S254" s="17"/>
      <c r="T254" s="20"/>
      <c r="U254" s="28"/>
      <c r="V254" s="17"/>
    </row>
    <row r="255" spans="1:23" ht="60" x14ac:dyDescent="0.25">
      <c r="A255" s="17">
        <f>SUBTOTAL(103,B$2:B255)*1</f>
        <v>254</v>
      </c>
      <c r="B255" s="17" t="s">
        <v>292</v>
      </c>
      <c r="C255" s="18" t="s">
        <v>1301</v>
      </c>
      <c r="D255" s="17" t="s">
        <v>13</v>
      </c>
      <c r="E255" s="17" t="s">
        <v>59</v>
      </c>
      <c r="F255" s="17" t="s">
        <v>119</v>
      </c>
      <c r="G255" s="17" t="s">
        <v>63</v>
      </c>
      <c r="H255" s="17" t="s">
        <v>622</v>
      </c>
      <c r="I255" s="17"/>
      <c r="J255" s="17" t="s">
        <v>120</v>
      </c>
      <c r="K255" s="17" t="s">
        <v>404</v>
      </c>
      <c r="L255" s="19"/>
      <c r="M255" s="17" t="s">
        <v>60</v>
      </c>
      <c r="N255" s="19"/>
      <c r="O255" s="17" t="s">
        <v>54</v>
      </c>
      <c r="P255" s="17"/>
      <c r="Q255" s="28">
        <v>45884</v>
      </c>
      <c r="R255" s="17" t="s">
        <v>528</v>
      </c>
      <c r="S255" s="17"/>
      <c r="T255" s="20"/>
      <c r="U255" s="28">
        <v>45887</v>
      </c>
      <c r="V255" s="28"/>
    </row>
    <row r="256" spans="1:23" ht="30" customHeight="1" x14ac:dyDescent="0.25">
      <c r="A256" s="17">
        <f>SUBTOTAL(103,B$2:B256)*1</f>
        <v>255</v>
      </c>
      <c r="B256" s="17" t="s">
        <v>292</v>
      </c>
      <c r="C256" s="18" t="s">
        <v>128</v>
      </c>
      <c r="D256" s="17" t="s">
        <v>90</v>
      </c>
      <c r="E256" s="17" t="s">
        <v>97</v>
      </c>
      <c r="F256" s="17"/>
      <c r="G256" s="17" t="s">
        <v>63</v>
      </c>
      <c r="H256" s="17" t="s">
        <v>622</v>
      </c>
      <c r="I256" s="17" t="s">
        <v>596</v>
      </c>
      <c r="J256" s="17" t="s">
        <v>120</v>
      </c>
      <c r="K256" s="17" t="s">
        <v>404</v>
      </c>
      <c r="L256" s="19"/>
      <c r="M256" s="17" t="s">
        <v>60</v>
      </c>
      <c r="N256" s="19"/>
      <c r="O256" s="17">
        <v>3</v>
      </c>
      <c r="P256" s="17"/>
      <c r="Q256" s="28"/>
      <c r="R256" s="17" t="s">
        <v>474</v>
      </c>
      <c r="S256" s="17"/>
      <c r="T256" s="20" t="s">
        <v>2028</v>
      </c>
      <c r="U256" s="28">
        <v>45999</v>
      </c>
      <c r="V256" s="17" t="s">
        <v>865</v>
      </c>
      <c r="W256" s="52"/>
    </row>
    <row r="257" spans="1:23" ht="30" customHeight="1" x14ac:dyDescent="0.25">
      <c r="A257" s="17">
        <f>SUBTOTAL(103,B$2:B257)*1</f>
        <v>256</v>
      </c>
      <c r="B257" s="17" t="s">
        <v>292</v>
      </c>
      <c r="C257" s="18" t="s">
        <v>180</v>
      </c>
      <c r="D257" s="17" t="s">
        <v>178</v>
      </c>
      <c r="E257" s="17" t="s">
        <v>111</v>
      </c>
      <c r="F257" s="17" t="s">
        <v>179</v>
      </c>
      <c r="G257" s="17" t="s">
        <v>63</v>
      </c>
      <c r="H257" s="17" t="s">
        <v>622</v>
      </c>
      <c r="I257" s="17" t="s">
        <v>636</v>
      </c>
      <c r="J257" s="17" t="s">
        <v>120</v>
      </c>
      <c r="K257" s="17" t="s">
        <v>404</v>
      </c>
      <c r="L257" s="19"/>
      <c r="M257" s="17" t="s">
        <v>19</v>
      </c>
      <c r="N257" s="19"/>
      <c r="O257" s="17"/>
      <c r="P257" s="17"/>
      <c r="Q257" s="28"/>
      <c r="R257" s="17" t="s">
        <v>533</v>
      </c>
      <c r="S257" s="17"/>
      <c r="T257" s="20"/>
      <c r="U257" s="28"/>
      <c r="V257" s="17"/>
    </row>
    <row r="258" spans="1:23" ht="30" customHeight="1" x14ac:dyDescent="0.25">
      <c r="A258" s="17">
        <f>SUBTOTAL(103,B$2:B258)*1</f>
        <v>257</v>
      </c>
      <c r="B258" s="17" t="s">
        <v>485</v>
      </c>
      <c r="C258" s="18" t="s">
        <v>484</v>
      </c>
      <c r="D258" s="17" t="s">
        <v>526</v>
      </c>
      <c r="E258" s="17"/>
      <c r="F258" s="17"/>
      <c r="G258" s="17" t="s">
        <v>522</v>
      </c>
      <c r="H258" s="17" t="s">
        <v>622</v>
      </c>
      <c r="I258" s="17"/>
      <c r="J258" s="17" t="s">
        <v>120</v>
      </c>
      <c r="K258" s="17" t="s">
        <v>499</v>
      </c>
      <c r="L258" s="19"/>
      <c r="M258" s="17" t="s">
        <v>627</v>
      </c>
      <c r="N258" s="19"/>
      <c r="O258" s="17">
        <v>2</v>
      </c>
      <c r="P258" s="17"/>
      <c r="Q258" s="28"/>
      <c r="R258" s="17" t="s">
        <v>528</v>
      </c>
      <c r="S258" s="17"/>
      <c r="T258" s="20"/>
      <c r="U258" s="28">
        <v>45803</v>
      </c>
      <c r="V258" s="28"/>
    </row>
    <row r="259" spans="1:23" ht="60" x14ac:dyDescent="0.25">
      <c r="A259" s="17">
        <f>SUBTOTAL(103,B$2:B259)*1</f>
        <v>258</v>
      </c>
      <c r="B259" s="17" t="s">
        <v>292</v>
      </c>
      <c r="C259" s="18" t="s">
        <v>1640</v>
      </c>
      <c r="D259" s="18" t="s">
        <v>9</v>
      </c>
      <c r="E259" s="17"/>
      <c r="F259" s="17"/>
      <c r="G259" s="17" t="s">
        <v>63</v>
      </c>
      <c r="H259" s="17" t="s">
        <v>619</v>
      </c>
      <c r="I259" s="17"/>
      <c r="J259" s="17" t="s">
        <v>120</v>
      </c>
      <c r="K259" s="17" t="s">
        <v>404</v>
      </c>
      <c r="L259" s="19"/>
      <c r="M259" s="17" t="s">
        <v>333</v>
      </c>
      <c r="N259" s="19"/>
      <c r="O259" s="17">
        <v>4</v>
      </c>
      <c r="P259" s="17"/>
      <c r="Q259" s="28"/>
      <c r="R259" s="17" t="s">
        <v>468</v>
      </c>
      <c r="S259" s="17"/>
      <c r="T259" s="35" t="s">
        <v>2072</v>
      </c>
      <c r="U259" s="28">
        <v>46006</v>
      </c>
      <c r="V259" s="17"/>
    </row>
    <row r="260" spans="1:23" ht="30" customHeight="1" x14ac:dyDescent="0.25">
      <c r="A260" s="17">
        <f>SUBTOTAL(103,B$2:B260)*1</f>
        <v>259</v>
      </c>
      <c r="B260" s="17" t="s">
        <v>2589</v>
      </c>
      <c r="C260" s="18" t="s">
        <v>2850</v>
      </c>
      <c r="D260" s="17" t="s">
        <v>540</v>
      </c>
      <c r="E260" s="17"/>
      <c r="F260" s="17"/>
      <c r="G260" s="17" t="s">
        <v>364</v>
      </c>
      <c r="H260" s="17" t="s">
        <v>927</v>
      </c>
      <c r="I260" s="17"/>
      <c r="J260" s="17" t="s">
        <v>2849</v>
      </c>
      <c r="K260" s="17" t="s">
        <v>748</v>
      </c>
      <c r="L260" s="19"/>
      <c r="M260" s="17" t="s">
        <v>300</v>
      </c>
      <c r="N260" s="19"/>
      <c r="O260" s="17">
        <v>2</v>
      </c>
      <c r="P260" s="17"/>
      <c r="Q260" s="28"/>
      <c r="R260" s="17" t="s">
        <v>386</v>
      </c>
      <c r="S260" s="17"/>
      <c r="T260" s="20" t="s">
        <v>2890</v>
      </c>
      <c r="U260" s="28">
        <v>46097</v>
      </c>
      <c r="V260" s="17"/>
    </row>
    <row r="261" spans="1:23" ht="30" customHeight="1" x14ac:dyDescent="0.25">
      <c r="A261" s="17">
        <f>SUBTOTAL(103,B$2:B261)*1</f>
        <v>260</v>
      </c>
      <c r="B261" s="17" t="s">
        <v>292</v>
      </c>
      <c r="C261" s="18" t="s">
        <v>125</v>
      </c>
      <c r="D261" s="17" t="s">
        <v>78</v>
      </c>
      <c r="E261" s="17"/>
      <c r="F261" s="17"/>
      <c r="G261" s="17" t="s">
        <v>63</v>
      </c>
      <c r="H261" s="17" t="s">
        <v>622</v>
      </c>
      <c r="I261" s="17"/>
      <c r="J261" s="17" t="s">
        <v>126</v>
      </c>
      <c r="K261" s="17" t="s">
        <v>430</v>
      </c>
      <c r="L261" s="19"/>
      <c r="M261" s="17" t="s">
        <v>19</v>
      </c>
      <c r="N261" s="19"/>
      <c r="O261" s="17"/>
      <c r="P261" s="17"/>
      <c r="Q261" s="28"/>
      <c r="R261" s="17" t="s">
        <v>479</v>
      </c>
      <c r="S261" s="17"/>
      <c r="T261" s="20"/>
      <c r="U261" s="28"/>
      <c r="V261" s="17"/>
    </row>
    <row r="262" spans="1:23" ht="30" customHeight="1" x14ac:dyDescent="0.25">
      <c r="A262" s="17">
        <f>SUBTOTAL(103,B$2:B262)*1</f>
        <v>261</v>
      </c>
      <c r="B262" s="17" t="s">
        <v>292</v>
      </c>
      <c r="C262" s="18" t="s">
        <v>129</v>
      </c>
      <c r="D262" s="17" t="s">
        <v>90</v>
      </c>
      <c r="E262" s="17" t="s">
        <v>97</v>
      </c>
      <c r="F262" s="17" t="s">
        <v>111</v>
      </c>
      <c r="G262" s="17" t="s">
        <v>91</v>
      </c>
      <c r="H262" s="17" t="s">
        <v>618</v>
      </c>
      <c r="I262" s="17" t="s">
        <v>888</v>
      </c>
      <c r="J262" s="17" t="s">
        <v>433</v>
      </c>
      <c r="K262" s="17" t="s">
        <v>432</v>
      </c>
      <c r="L262" s="19"/>
      <c r="M262" s="17" t="s">
        <v>19</v>
      </c>
      <c r="N262" s="19"/>
      <c r="O262" s="17">
        <v>1</v>
      </c>
      <c r="P262" s="17"/>
      <c r="Q262" s="28"/>
      <c r="R262" s="17" t="s">
        <v>474</v>
      </c>
      <c r="S262" s="17"/>
      <c r="T262" s="20"/>
      <c r="U262" s="28"/>
      <c r="V262" s="17" t="s">
        <v>954</v>
      </c>
      <c r="W262" s="52"/>
    </row>
    <row r="263" spans="1:23" ht="30" customHeight="1" x14ac:dyDescent="0.25">
      <c r="A263" s="17">
        <f>SUBTOTAL(103,B$2:B263)*1</f>
        <v>262</v>
      </c>
      <c r="B263" s="62" t="s">
        <v>2535</v>
      </c>
      <c r="C263" s="18" t="s">
        <v>133</v>
      </c>
      <c r="D263" s="17" t="s">
        <v>13</v>
      </c>
      <c r="E263" s="17" t="s">
        <v>21</v>
      </c>
      <c r="F263" s="17"/>
      <c r="G263" s="17" t="s">
        <v>621</v>
      </c>
      <c r="H263" s="17" t="s">
        <v>618</v>
      </c>
      <c r="I263" s="17"/>
      <c r="J263" s="17" t="s">
        <v>134</v>
      </c>
      <c r="K263" s="17" t="s">
        <v>404</v>
      </c>
      <c r="L263" s="19">
        <v>900000</v>
      </c>
      <c r="M263" s="17" t="s">
        <v>333</v>
      </c>
      <c r="N263" s="19"/>
      <c r="O263" s="17">
        <v>4</v>
      </c>
      <c r="P263" s="17"/>
      <c r="Q263" s="28"/>
      <c r="R263" s="17" t="s">
        <v>482</v>
      </c>
      <c r="S263" s="17"/>
      <c r="T263" s="20" t="s">
        <v>2643</v>
      </c>
      <c r="U263" s="28">
        <v>46041</v>
      </c>
      <c r="V263" s="17"/>
    </row>
    <row r="264" spans="1:23" ht="30" customHeight="1" x14ac:dyDescent="0.25">
      <c r="A264" s="17">
        <f>SUBTOTAL(103,B$2:B264)*1</f>
        <v>263</v>
      </c>
      <c r="B264" s="62" t="s">
        <v>2535</v>
      </c>
      <c r="C264" s="18" t="s">
        <v>993</v>
      </c>
      <c r="D264" s="18" t="s">
        <v>325</v>
      </c>
      <c r="E264" s="17"/>
      <c r="F264" s="17"/>
      <c r="G264" s="17" t="s">
        <v>621</v>
      </c>
      <c r="H264" s="17" t="s">
        <v>618</v>
      </c>
      <c r="I264" s="17"/>
      <c r="J264" s="17" t="s">
        <v>134</v>
      </c>
      <c r="K264" s="17" t="s">
        <v>404</v>
      </c>
      <c r="L264" s="19">
        <v>250000</v>
      </c>
      <c r="M264" s="17" t="s">
        <v>312</v>
      </c>
      <c r="N264" s="19"/>
      <c r="O264" s="17">
        <v>3</v>
      </c>
      <c r="P264" s="17"/>
      <c r="Q264" s="28"/>
      <c r="R264" s="17" t="s">
        <v>474</v>
      </c>
      <c r="S264" s="17"/>
      <c r="T264" s="35" t="s">
        <v>2701</v>
      </c>
      <c r="U264" s="28">
        <v>46048</v>
      </c>
      <c r="V264" s="28" t="s">
        <v>1001</v>
      </c>
      <c r="W264" s="52"/>
    </row>
    <row r="265" spans="1:23" ht="30" customHeight="1" x14ac:dyDescent="0.25">
      <c r="A265" s="17">
        <f>SUBTOTAL(103,B$2:B265)*1</f>
        <v>264</v>
      </c>
      <c r="B265" s="17" t="s">
        <v>292</v>
      </c>
      <c r="C265" s="18" t="s">
        <v>1303</v>
      </c>
      <c r="D265" s="18" t="s">
        <v>31</v>
      </c>
      <c r="E265" s="17"/>
      <c r="F265" s="17"/>
      <c r="G265" s="17" t="s">
        <v>621</v>
      </c>
      <c r="H265" s="17" t="s">
        <v>618</v>
      </c>
      <c r="I265" s="17"/>
      <c r="J265" s="17" t="s">
        <v>134</v>
      </c>
      <c r="K265" s="17" t="s">
        <v>404</v>
      </c>
      <c r="L265" s="19"/>
      <c r="M265" s="17" t="s">
        <v>211</v>
      </c>
      <c r="N265" s="19"/>
      <c r="O265" s="17">
        <v>1</v>
      </c>
      <c r="P265" s="17"/>
      <c r="Q265" s="28"/>
      <c r="R265" s="17" t="s">
        <v>529</v>
      </c>
      <c r="S265" s="17"/>
      <c r="T265" s="35"/>
      <c r="U265" s="28">
        <v>45887</v>
      </c>
      <c r="V265" s="28"/>
    </row>
    <row r="266" spans="1:23" ht="30" customHeight="1" x14ac:dyDescent="0.25">
      <c r="A266" s="17">
        <f>SUBTOTAL(103,B$2:B266)*1</f>
        <v>265</v>
      </c>
      <c r="B266" s="17" t="s">
        <v>292</v>
      </c>
      <c r="C266" s="18" t="s">
        <v>135</v>
      </c>
      <c r="D266" s="17" t="s">
        <v>30</v>
      </c>
      <c r="E266" s="17" t="s">
        <v>105</v>
      </c>
      <c r="F266" s="17"/>
      <c r="G266" s="17" t="s">
        <v>136</v>
      </c>
      <c r="H266" s="17" t="s">
        <v>624</v>
      </c>
      <c r="I266" s="17"/>
      <c r="J266" s="17" t="s">
        <v>137</v>
      </c>
      <c r="K266" s="17" t="s">
        <v>428</v>
      </c>
      <c r="L266" s="19"/>
      <c r="M266" s="17" t="s">
        <v>19</v>
      </c>
      <c r="N266" s="19"/>
      <c r="O266" s="17"/>
      <c r="P266" s="17"/>
      <c r="Q266" s="28"/>
      <c r="R266" s="17" t="s">
        <v>477</v>
      </c>
      <c r="S266" s="17"/>
      <c r="T266" s="20"/>
      <c r="U266" s="28"/>
      <c r="V266" s="17"/>
    </row>
    <row r="267" spans="1:23" ht="45" x14ac:dyDescent="0.25">
      <c r="A267" s="17">
        <f>SUBTOTAL(103,B$2:B267)*1</f>
        <v>266</v>
      </c>
      <c r="B267" s="17" t="s">
        <v>292</v>
      </c>
      <c r="C267" s="18" t="s">
        <v>140</v>
      </c>
      <c r="D267" s="17" t="s">
        <v>30</v>
      </c>
      <c r="E267" s="17" t="s">
        <v>9</v>
      </c>
      <c r="F267" s="17"/>
      <c r="G267" s="17" t="s">
        <v>580</v>
      </c>
      <c r="H267" s="17" t="s">
        <v>618</v>
      </c>
      <c r="I267" s="17" t="s">
        <v>635</v>
      </c>
      <c r="J267" s="17" t="s">
        <v>140</v>
      </c>
      <c r="K267" s="17" t="s">
        <v>432</v>
      </c>
      <c r="L267" s="19"/>
      <c r="M267" s="17" t="s">
        <v>333</v>
      </c>
      <c r="N267" s="19"/>
      <c r="O267" s="17">
        <v>6</v>
      </c>
      <c r="P267" s="17"/>
      <c r="Q267" s="28"/>
      <c r="R267" s="17" t="s">
        <v>476</v>
      </c>
      <c r="S267" s="17"/>
      <c r="T267" s="20" t="s">
        <v>1909</v>
      </c>
      <c r="U267" s="28">
        <v>45985</v>
      </c>
      <c r="V267" s="28"/>
    </row>
    <row r="268" spans="1:23" ht="30" customHeight="1" x14ac:dyDescent="0.25">
      <c r="A268" s="17">
        <f>SUBTOTAL(103,B$2:B268)*1</f>
        <v>267</v>
      </c>
      <c r="B268" s="17" t="s">
        <v>292</v>
      </c>
      <c r="C268" s="18" t="s">
        <v>143</v>
      </c>
      <c r="D268" s="17" t="s">
        <v>31</v>
      </c>
      <c r="E268" s="17" t="s">
        <v>57</v>
      </c>
      <c r="F268" s="17"/>
      <c r="G268" s="17" t="s">
        <v>84</v>
      </c>
      <c r="H268" s="17" t="s">
        <v>618</v>
      </c>
      <c r="I268" s="17"/>
      <c r="J268" s="17" t="s">
        <v>144</v>
      </c>
      <c r="K268" s="17" t="s">
        <v>432</v>
      </c>
      <c r="L268" s="19"/>
      <c r="M268" s="17" t="s">
        <v>42</v>
      </c>
      <c r="N268" s="19"/>
      <c r="O268" s="17">
        <v>2</v>
      </c>
      <c r="P268" s="17"/>
      <c r="Q268" s="28"/>
      <c r="R268" s="17" t="s">
        <v>767</v>
      </c>
      <c r="S268" s="17"/>
      <c r="T268" s="20" t="s">
        <v>1510</v>
      </c>
      <c r="U268" s="28">
        <v>45922</v>
      </c>
      <c r="V268" s="28"/>
    </row>
    <row r="269" spans="1:23" ht="30" customHeight="1" x14ac:dyDescent="0.25">
      <c r="A269" s="17">
        <f>SUBTOTAL(103,B$2:B269)*1</f>
        <v>268</v>
      </c>
      <c r="B269" s="17" t="s">
        <v>292</v>
      </c>
      <c r="C269" s="18" t="s">
        <v>147</v>
      </c>
      <c r="D269" s="17" t="s">
        <v>90</v>
      </c>
      <c r="E269" s="17" t="s">
        <v>97</v>
      </c>
      <c r="F269" s="17" t="s">
        <v>148</v>
      </c>
      <c r="G269" s="17" t="s">
        <v>22</v>
      </c>
      <c r="H269" s="17" t="s">
        <v>623</v>
      </c>
      <c r="I269" s="17" t="s">
        <v>889</v>
      </c>
      <c r="J269" s="17" t="s">
        <v>149</v>
      </c>
      <c r="K269" s="17" t="s">
        <v>432</v>
      </c>
      <c r="L269" s="19"/>
      <c r="M269" s="17" t="s">
        <v>19</v>
      </c>
      <c r="N269" s="19"/>
      <c r="O269" s="17">
        <v>1</v>
      </c>
      <c r="P269" s="17"/>
      <c r="Q269" s="28"/>
      <c r="R269" s="17" t="s">
        <v>474</v>
      </c>
      <c r="S269" s="17"/>
      <c r="T269" s="20"/>
      <c r="U269" s="28"/>
      <c r="V269" s="17" t="s">
        <v>953</v>
      </c>
      <c r="W269" s="52"/>
    </row>
    <row r="270" spans="1:23" ht="30" customHeight="1" x14ac:dyDescent="0.25">
      <c r="A270" s="17">
        <f>SUBTOTAL(103,B$2:B270)*1</f>
        <v>269</v>
      </c>
      <c r="B270" s="17" t="s">
        <v>292</v>
      </c>
      <c r="C270" s="18" t="s">
        <v>152</v>
      </c>
      <c r="D270" s="17" t="s">
        <v>13</v>
      </c>
      <c r="E270" s="17" t="s">
        <v>59</v>
      </c>
      <c r="F270" s="17" t="s">
        <v>157</v>
      </c>
      <c r="G270" s="17" t="s">
        <v>16</v>
      </c>
      <c r="H270" s="17" t="s">
        <v>618</v>
      </c>
      <c r="I270" s="17" t="s">
        <v>646</v>
      </c>
      <c r="J270" s="17" t="s">
        <v>153</v>
      </c>
      <c r="K270" s="17" t="s">
        <v>432</v>
      </c>
      <c r="L270" s="19">
        <v>2710000</v>
      </c>
      <c r="M270" s="17" t="s">
        <v>60</v>
      </c>
      <c r="N270" s="19"/>
      <c r="O270" s="17">
        <v>3</v>
      </c>
      <c r="P270" s="17"/>
      <c r="Q270" s="28"/>
      <c r="R270" s="17" t="s">
        <v>476</v>
      </c>
      <c r="S270" s="17"/>
      <c r="T270" s="20" t="s">
        <v>840</v>
      </c>
      <c r="U270" s="28">
        <v>45824</v>
      </c>
      <c r="V270" s="28"/>
    </row>
    <row r="271" spans="1:23" ht="30" customHeight="1" x14ac:dyDescent="0.25">
      <c r="A271" s="17">
        <f>SUBTOTAL(103,B$2:B271)*1</f>
        <v>270</v>
      </c>
      <c r="B271" s="17" t="s">
        <v>292</v>
      </c>
      <c r="C271" s="18" t="s">
        <v>154</v>
      </c>
      <c r="D271" s="17" t="s">
        <v>78</v>
      </c>
      <c r="E271" s="17"/>
      <c r="F271" s="17"/>
      <c r="G271" s="17" t="s">
        <v>82</v>
      </c>
      <c r="H271" s="17" t="s">
        <v>622</v>
      </c>
      <c r="I271" s="17"/>
      <c r="J271" s="17" t="s">
        <v>155</v>
      </c>
      <c r="K271" s="17" t="s">
        <v>432</v>
      </c>
      <c r="L271" s="19"/>
      <c r="M271" s="17" t="s">
        <v>19</v>
      </c>
      <c r="N271" s="19"/>
      <c r="O271" s="17">
        <v>2</v>
      </c>
      <c r="P271" s="17"/>
      <c r="Q271" s="28"/>
      <c r="R271" s="17" t="s">
        <v>479</v>
      </c>
      <c r="S271" s="17"/>
      <c r="T271" s="20"/>
      <c r="U271" s="28"/>
      <c r="V271" s="17"/>
    </row>
    <row r="272" spans="1:23" ht="30" customHeight="1" x14ac:dyDescent="0.25">
      <c r="A272" s="17">
        <f>SUBTOTAL(103,B$2:B272)*1</f>
        <v>271</v>
      </c>
      <c r="B272" s="17" t="s">
        <v>292</v>
      </c>
      <c r="C272" s="18" t="s">
        <v>158</v>
      </c>
      <c r="D272" s="17" t="s">
        <v>31</v>
      </c>
      <c r="E272" s="17" t="s">
        <v>159</v>
      </c>
      <c r="F272" s="17"/>
      <c r="G272" s="17" t="s">
        <v>625</v>
      </c>
      <c r="H272" s="17" t="s">
        <v>622</v>
      </c>
      <c r="I272" s="17" t="s">
        <v>643</v>
      </c>
      <c r="J272" s="17" t="s">
        <v>160</v>
      </c>
      <c r="K272" s="17" t="s">
        <v>404</v>
      </c>
      <c r="L272" s="19"/>
      <c r="M272" s="17" t="s">
        <v>42</v>
      </c>
      <c r="N272" s="19"/>
      <c r="O272" s="17"/>
      <c r="P272" s="17"/>
      <c r="Q272" s="28"/>
      <c r="R272" s="17" t="s">
        <v>479</v>
      </c>
      <c r="S272" s="17"/>
      <c r="T272" s="20"/>
      <c r="U272" s="28"/>
      <c r="V272" s="17"/>
    </row>
    <row r="273" spans="1:23" ht="30" customHeight="1" x14ac:dyDescent="0.25">
      <c r="A273" s="17">
        <f>SUBTOTAL(103,B$2:B273)*1</f>
        <v>272</v>
      </c>
      <c r="B273" s="17" t="s">
        <v>292</v>
      </c>
      <c r="C273" s="18" t="s">
        <v>214</v>
      </c>
      <c r="D273" s="17" t="s">
        <v>90</v>
      </c>
      <c r="E273" s="17" t="s">
        <v>97</v>
      </c>
      <c r="F273" s="17"/>
      <c r="G273" s="17" t="s">
        <v>36</v>
      </c>
      <c r="H273" s="17" t="s">
        <v>624</v>
      </c>
      <c r="I273" s="17"/>
      <c r="J273" s="17" t="s">
        <v>161</v>
      </c>
      <c r="K273" s="17" t="s">
        <v>404</v>
      </c>
      <c r="L273" s="19">
        <v>60000</v>
      </c>
      <c r="M273" s="17" t="s">
        <v>19</v>
      </c>
      <c r="N273" s="19"/>
      <c r="O273" s="17"/>
      <c r="P273" s="17"/>
      <c r="Q273" s="28"/>
      <c r="R273" s="17" t="s">
        <v>474</v>
      </c>
      <c r="S273" s="17"/>
      <c r="T273" s="20"/>
      <c r="U273" s="28"/>
      <c r="V273" s="17" t="s">
        <v>853</v>
      </c>
      <c r="W273" s="52"/>
    </row>
    <row r="274" spans="1:23" ht="30" customHeight="1" x14ac:dyDescent="0.25">
      <c r="A274" s="17">
        <f>SUBTOTAL(103,B$2:B274)*1</f>
        <v>273</v>
      </c>
      <c r="B274" s="17" t="s">
        <v>292</v>
      </c>
      <c r="C274" s="18" t="s">
        <v>163</v>
      </c>
      <c r="D274" s="17" t="s">
        <v>31</v>
      </c>
      <c r="E274" s="17" t="s">
        <v>10</v>
      </c>
      <c r="F274" s="17"/>
      <c r="G274" s="17" t="s">
        <v>41</v>
      </c>
      <c r="H274" s="17" t="s">
        <v>624</v>
      </c>
      <c r="I274" s="17"/>
      <c r="J274" s="17" t="s">
        <v>483</v>
      </c>
      <c r="K274" s="17" t="s">
        <v>430</v>
      </c>
      <c r="L274" s="19"/>
      <c r="M274" s="17" t="s">
        <v>42</v>
      </c>
      <c r="N274" s="19"/>
      <c r="O274" s="17">
        <v>2</v>
      </c>
      <c r="P274" s="17"/>
      <c r="Q274" s="28"/>
      <c r="R274" s="17" t="s">
        <v>477</v>
      </c>
      <c r="S274" s="17"/>
      <c r="T274" s="20"/>
      <c r="U274" s="28">
        <v>45799</v>
      </c>
      <c r="V274" s="28"/>
    </row>
    <row r="275" spans="1:23" ht="30" customHeight="1" x14ac:dyDescent="0.25">
      <c r="A275" s="17">
        <f>SUBTOTAL(103,B$2:B275)*1</f>
        <v>274</v>
      </c>
      <c r="B275" s="17" t="s">
        <v>292</v>
      </c>
      <c r="C275" s="18" t="s">
        <v>165</v>
      </c>
      <c r="D275" s="17" t="s">
        <v>90</v>
      </c>
      <c r="E275" s="17" t="s">
        <v>97</v>
      </c>
      <c r="F275" s="17"/>
      <c r="G275" s="17" t="s">
        <v>36</v>
      </c>
      <c r="H275" s="17" t="s">
        <v>624</v>
      </c>
      <c r="I275" s="17" t="s">
        <v>648</v>
      </c>
      <c r="J275" s="17" t="s">
        <v>166</v>
      </c>
      <c r="K275" s="17" t="s">
        <v>404</v>
      </c>
      <c r="L275" s="19"/>
      <c r="M275" s="17" t="s">
        <v>42</v>
      </c>
      <c r="N275" s="19"/>
      <c r="O275" s="17"/>
      <c r="P275" s="17"/>
      <c r="Q275" s="28"/>
      <c r="R275" s="17" t="s">
        <v>474</v>
      </c>
      <c r="S275" s="17"/>
      <c r="T275" s="20"/>
      <c r="U275" s="28"/>
      <c r="V275" s="17" t="s">
        <v>854</v>
      </c>
      <c r="W275" s="52"/>
    </row>
    <row r="276" spans="1:23" ht="30" customHeight="1" x14ac:dyDescent="0.25">
      <c r="A276" s="17">
        <f>SUBTOTAL(103,B$2:B276)*1</f>
        <v>275</v>
      </c>
      <c r="B276" s="17" t="s">
        <v>292</v>
      </c>
      <c r="C276" s="18" t="s">
        <v>280</v>
      </c>
      <c r="D276" s="17" t="s">
        <v>31</v>
      </c>
      <c r="E276" s="17" t="s">
        <v>57</v>
      </c>
      <c r="F276" s="17"/>
      <c r="G276" s="17" t="s">
        <v>36</v>
      </c>
      <c r="H276" s="17" t="s">
        <v>624</v>
      </c>
      <c r="I276" s="17"/>
      <c r="J276" s="17" t="s">
        <v>166</v>
      </c>
      <c r="K276" s="17" t="s">
        <v>432</v>
      </c>
      <c r="L276" s="19"/>
      <c r="M276" s="17" t="s">
        <v>42</v>
      </c>
      <c r="N276" s="19"/>
      <c r="O276" s="17"/>
      <c r="P276" s="17"/>
      <c r="Q276" s="28"/>
      <c r="R276" s="17" t="s">
        <v>529</v>
      </c>
      <c r="S276" s="17"/>
      <c r="T276" s="20"/>
      <c r="U276" s="28"/>
      <c r="V276" s="17"/>
    </row>
    <row r="277" spans="1:23" ht="30" customHeight="1" x14ac:dyDescent="0.25">
      <c r="A277" s="17">
        <f>SUBTOTAL(103,B$2:B277)*1</f>
        <v>276</v>
      </c>
      <c r="B277" s="17" t="s">
        <v>292</v>
      </c>
      <c r="C277" s="18" t="s">
        <v>169</v>
      </c>
      <c r="D277" s="17" t="s">
        <v>31</v>
      </c>
      <c r="E277" s="17" t="s">
        <v>170</v>
      </c>
      <c r="F277" s="17"/>
      <c r="G277" s="17" t="s">
        <v>82</v>
      </c>
      <c r="H277" s="17" t="s">
        <v>622</v>
      </c>
      <c r="I277" s="17"/>
      <c r="J277" s="17" t="s">
        <v>168</v>
      </c>
      <c r="K277" s="17" t="s">
        <v>404</v>
      </c>
      <c r="L277" s="19">
        <v>600000</v>
      </c>
      <c r="M277" s="17" t="s">
        <v>19</v>
      </c>
      <c r="N277" s="19"/>
      <c r="O277" s="17"/>
      <c r="P277" s="17"/>
      <c r="Q277" s="28"/>
      <c r="R277" s="17" t="s">
        <v>2603</v>
      </c>
      <c r="S277" s="17"/>
      <c r="T277" s="20"/>
      <c r="U277" s="28"/>
      <c r="V277" s="17"/>
    </row>
    <row r="278" spans="1:23" ht="60" x14ac:dyDescent="0.25">
      <c r="A278" s="17">
        <f>SUBTOTAL(103,B$2:B278)*1</f>
        <v>277</v>
      </c>
      <c r="B278" s="17" t="s">
        <v>292</v>
      </c>
      <c r="C278" s="18" t="s">
        <v>173</v>
      </c>
      <c r="D278" s="17" t="s">
        <v>30</v>
      </c>
      <c r="E278" s="17" t="s">
        <v>9</v>
      </c>
      <c r="F278" s="17"/>
      <c r="G278" s="17" t="s">
        <v>84</v>
      </c>
      <c r="H278" s="17" t="s">
        <v>618</v>
      </c>
      <c r="I278" s="17" t="s">
        <v>545</v>
      </c>
      <c r="J278" s="17" t="s">
        <v>436</v>
      </c>
      <c r="K278" s="17" t="s">
        <v>432</v>
      </c>
      <c r="L278" s="19">
        <v>7000000</v>
      </c>
      <c r="M278" s="17" t="s">
        <v>53</v>
      </c>
      <c r="N278" s="19"/>
      <c r="O278" s="17">
        <v>2</v>
      </c>
      <c r="P278" s="17"/>
      <c r="Q278" s="28"/>
      <c r="R278" s="17" t="s">
        <v>468</v>
      </c>
      <c r="S278" s="17"/>
      <c r="T278" s="20" t="s">
        <v>1727</v>
      </c>
      <c r="U278" s="28">
        <v>45964</v>
      </c>
      <c r="V278" s="28"/>
    </row>
    <row r="279" spans="1:23" ht="30" customHeight="1" x14ac:dyDescent="0.25">
      <c r="A279" s="17">
        <f>SUBTOTAL(103,B$2:B279)*1</f>
        <v>278</v>
      </c>
      <c r="B279" s="17" t="s">
        <v>292</v>
      </c>
      <c r="C279" s="18" t="s">
        <v>174</v>
      </c>
      <c r="D279" s="17" t="s">
        <v>31</v>
      </c>
      <c r="E279" s="17" t="s">
        <v>57</v>
      </c>
      <c r="F279" s="17"/>
      <c r="G279" s="17" t="s">
        <v>621</v>
      </c>
      <c r="H279" s="17" t="s">
        <v>618</v>
      </c>
      <c r="I279" s="17" t="s">
        <v>641</v>
      </c>
      <c r="J279" s="17" t="s">
        <v>175</v>
      </c>
      <c r="K279" s="17" t="s">
        <v>432</v>
      </c>
      <c r="L279" s="19"/>
      <c r="M279" s="17" t="s">
        <v>19</v>
      </c>
      <c r="N279" s="19"/>
      <c r="O279" s="17"/>
      <c r="P279" s="17"/>
      <c r="Q279" s="28"/>
      <c r="R279" s="17" t="s">
        <v>479</v>
      </c>
      <c r="S279" s="17"/>
      <c r="T279" s="20"/>
      <c r="U279" s="28"/>
      <c r="V279" s="17"/>
    </row>
    <row r="280" spans="1:23" ht="30" customHeight="1" x14ac:dyDescent="0.25">
      <c r="A280" s="17">
        <f>SUBTOTAL(103,B$2:B280)*1</f>
        <v>279</v>
      </c>
      <c r="B280" s="17" t="s">
        <v>292</v>
      </c>
      <c r="C280" s="18" t="s">
        <v>176</v>
      </c>
      <c r="D280" s="17" t="s">
        <v>31</v>
      </c>
      <c r="E280" s="17" t="s">
        <v>57</v>
      </c>
      <c r="F280" s="17"/>
      <c r="G280" s="17" t="s">
        <v>16</v>
      </c>
      <c r="H280" s="17" t="s">
        <v>618</v>
      </c>
      <c r="I280" s="17"/>
      <c r="J280" s="17" t="s">
        <v>177</v>
      </c>
      <c r="K280" s="17" t="s">
        <v>432</v>
      </c>
      <c r="L280" s="19"/>
      <c r="M280" s="17" t="s">
        <v>19</v>
      </c>
      <c r="N280" s="19"/>
      <c r="O280" s="17"/>
      <c r="P280" s="17"/>
      <c r="Q280" s="28"/>
      <c r="R280" s="17" t="s">
        <v>479</v>
      </c>
      <c r="S280" s="17"/>
      <c r="T280" s="20"/>
      <c r="U280" s="28"/>
      <c r="V280" s="17"/>
    </row>
    <row r="281" spans="1:23" ht="30" customHeight="1" x14ac:dyDescent="0.25">
      <c r="A281" s="17">
        <f>SUBTOTAL(103,B$2:B281)*1</f>
        <v>280</v>
      </c>
      <c r="B281" s="17" t="s">
        <v>292</v>
      </c>
      <c r="C281" s="18" t="s">
        <v>187</v>
      </c>
      <c r="D281" s="17"/>
      <c r="E281" s="17"/>
      <c r="F281" s="17"/>
      <c r="G281" s="17" t="s">
        <v>82</v>
      </c>
      <c r="H281" s="17" t="s">
        <v>622</v>
      </c>
      <c r="I281" s="17"/>
      <c r="J281" s="17" t="s">
        <v>187</v>
      </c>
      <c r="K281" s="17" t="s">
        <v>432</v>
      </c>
      <c r="L281" s="19"/>
      <c r="M281" s="17" t="s">
        <v>19</v>
      </c>
      <c r="N281" s="19"/>
      <c r="O281" s="17"/>
      <c r="P281" s="17"/>
      <c r="Q281" s="28"/>
      <c r="R281" s="17" t="s">
        <v>477</v>
      </c>
      <c r="S281" s="17"/>
      <c r="T281" s="20"/>
      <c r="U281" s="28"/>
      <c r="V281" s="17"/>
    </row>
    <row r="282" spans="1:23" ht="30" customHeight="1" x14ac:dyDescent="0.25">
      <c r="A282" s="17">
        <f>SUBTOTAL(103,B$2:B282)*1</f>
        <v>281</v>
      </c>
      <c r="B282" s="17" t="s">
        <v>292</v>
      </c>
      <c r="C282" s="18" t="s">
        <v>189</v>
      </c>
      <c r="D282" s="17" t="s">
        <v>90</v>
      </c>
      <c r="E282" s="17" t="s">
        <v>97</v>
      </c>
      <c r="F282" s="17" t="s">
        <v>111</v>
      </c>
      <c r="G282" s="17" t="s">
        <v>190</v>
      </c>
      <c r="H282" s="17" t="s">
        <v>618</v>
      </c>
      <c r="I282" s="17" t="s">
        <v>639</v>
      </c>
      <c r="J282" s="17" t="s">
        <v>191</v>
      </c>
      <c r="K282" s="17" t="s">
        <v>404</v>
      </c>
      <c r="L282" s="19">
        <v>1530000</v>
      </c>
      <c r="M282" s="17" t="s">
        <v>19</v>
      </c>
      <c r="N282" s="19"/>
      <c r="O282" s="17"/>
      <c r="P282" s="17"/>
      <c r="Q282" s="28"/>
      <c r="R282" s="17" t="s">
        <v>474</v>
      </c>
      <c r="S282" s="17"/>
      <c r="T282" s="20"/>
      <c r="U282" s="28"/>
      <c r="V282" s="17" t="s">
        <v>857</v>
      </c>
      <c r="W282" s="52"/>
    </row>
    <row r="283" spans="1:23" ht="30" customHeight="1" x14ac:dyDescent="0.25">
      <c r="A283" s="17">
        <f>SUBTOTAL(103,B$2:B283)*1</f>
        <v>282</v>
      </c>
      <c r="B283" s="17" t="s">
        <v>292</v>
      </c>
      <c r="C283" s="18" t="s">
        <v>192</v>
      </c>
      <c r="D283" s="17" t="s">
        <v>90</v>
      </c>
      <c r="E283" s="17" t="s">
        <v>97</v>
      </c>
      <c r="F283" s="17"/>
      <c r="G283" s="17" t="s">
        <v>36</v>
      </c>
      <c r="H283" s="17" t="s">
        <v>624</v>
      </c>
      <c r="I283" s="17" t="s">
        <v>648</v>
      </c>
      <c r="J283" s="17" t="s">
        <v>193</v>
      </c>
      <c r="K283" s="17" t="s">
        <v>432</v>
      </c>
      <c r="L283" s="19"/>
      <c r="M283" s="17" t="s">
        <v>19</v>
      </c>
      <c r="N283" s="19"/>
      <c r="O283" s="17"/>
      <c r="P283" s="17"/>
      <c r="Q283" s="28"/>
      <c r="R283" s="17" t="s">
        <v>474</v>
      </c>
      <c r="S283" s="17"/>
      <c r="T283" s="20"/>
      <c r="U283" s="28"/>
      <c r="V283" s="17" t="s">
        <v>858</v>
      </c>
      <c r="W283" s="52"/>
    </row>
    <row r="284" spans="1:23" ht="30" customHeight="1" x14ac:dyDescent="0.25">
      <c r="A284" s="17">
        <f>SUBTOTAL(103,B$2:B284)*1</f>
        <v>283</v>
      </c>
      <c r="B284" s="17" t="s">
        <v>292</v>
      </c>
      <c r="C284" s="18" t="s">
        <v>1696</v>
      </c>
      <c r="D284" s="18" t="s">
        <v>540</v>
      </c>
      <c r="E284" s="17"/>
      <c r="F284" s="17"/>
      <c r="G284" s="17" t="s">
        <v>36</v>
      </c>
      <c r="H284" s="17" t="s">
        <v>620</v>
      </c>
      <c r="I284" s="17"/>
      <c r="J284" s="17" t="s">
        <v>193</v>
      </c>
      <c r="K284" s="17" t="s">
        <v>404</v>
      </c>
      <c r="L284" s="19"/>
      <c r="M284" s="17" t="s">
        <v>300</v>
      </c>
      <c r="N284" s="19"/>
      <c r="O284" s="17">
        <v>3</v>
      </c>
      <c r="P284" s="17"/>
      <c r="Q284" s="28"/>
      <c r="R284" s="17" t="s">
        <v>529</v>
      </c>
      <c r="S284" s="17"/>
      <c r="T284" s="35" t="s">
        <v>1919</v>
      </c>
      <c r="U284" s="28">
        <v>45985</v>
      </c>
      <c r="V284" s="17"/>
    </row>
    <row r="285" spans="1:23" ht="45" x14ac:dyDescent="0.25">
      <c r="A285" s="17">
        <f>SUBTOTAL(103,B$2:B285)*1</f>
        <v>284</v>
      </c>
      <c r="B285" s="17" t="s">
        <v>292</v>
      </c>
      <c r="C285" s="18" t="s">
        <v>1717</v>
      </c>
      <c r="D285" s="18" t="s">
        <v>540</v>
      </c>
      <c r="E285" s="17"/>
      <c r="F285" s="17"/>
      <c r="G285" s="17" t="s">
        <v>36</v>
      </c>
      <c r="H285" s="17" t="s">
        <v>620</v>
      </c>
      <c r="I285" s="17" t="s">
        <v>1758</v>
      </c>
      <c r="J285" s="17" t="s">
        <v>193</v>
      </c>
      <c r="K285" s="17" t="s">
        <v>404</v>
      </c>
      <c r="L285" s="19"/>
      <c r="M285" s="17" t="s">
        <v>300</v>
      </c>
      <c r="N285" s="19"/>
      <c r="O285" s="17">
        <v>2</v>
      </c>
      <c r="P285" s="17"/>
      <c r="Q285" s="28"/>
      <c r="R285" s="17" t="s">
        <v>479</v>
      </c>
      <c r="S285" s="17"/>
      <c r="T285" s="35" t="s">
        <v>1757</v>
      </c>
      <c r="U285" s="28">
        <v>45971</v>
      </c>
      <c r="V285" s="17"/>
    </row>
    <row r="286" spans="1:23" ht="30" customHeight="1" x14ac:dyDescent="0.25">
      <c r="A286" s="17">
        <f>SUBTOTAL(103,B$2:B286)*1</f>
        <v>285</v>
      </c>
      <c r="B286" s="17" t="s">
        <v>292</v>
      </c>
      <c r="C286" s="18" t="s">
        <v>198</v>
      </c>
      <c r="D286" s="17" t="s">
        <v>31</v>
      </c>
      <c r="E286" s="17" t="s">
        <v>57</v>
      </c>
      <c r="F286" s="17"/>
      <c r="G286" s="17" t="s">
        <v>82</v>
      </c>
      <c r="H286" s="17" t="s">
        <v>622</v>
      </c>
      <c r="I286" s="17"/>
      <c r="J286" s="17" t="s">
        <v>197</v>
      </c>
      <c r="K286" s="17" t="s">
        <v>404</v>
      </c>
      <c r="L286" s="19"/>
      <c r="M286" s="17" t="s">
        <v>42</v>
      </c>
      <c r="N286" s="19"/>
      <c r="O286" s="17"/>
      <c r="P286" s="17"/>
      <c r="Q286" s="28"/>
      <c r="R286" s="17" t="s">
        <v>529</v>
      </c>
      <c r="S286" s="17"/>
      <c r="T286" s="20"/>
      <c r="U286" s="28"/>
      <c r="V286" s="17"/>
    </row>
    <row r="287" spans="1:23" ht="30" customHeight="1" x14ac:dyDescent="0.25">
      <c r="A287" s="17">
        <f>SUBTOTAL(103,B$2:B287)*1</f>
        <v>286</v>
      </c>
      <c r="B287" s="17" t="s">
        <v>292</v>
      </c>
      <c r="C287" s="18" t="s">
        <v>199</v>
      </c>
      <c r="D287" s="17" t="s">
        <v>31</v>
      </c>
      <c r="E287" s="17" t="s">
        <v>57</v>
      </c>
      <c r="F287" s="17"/>
      <c r="G287" s="17" t="s">
        <v>63</v>
      </c>
      <c r="H287" s="17" t="s">
        <v>622</v>
      </c>
      <c r="I287" s="17"/>
      <c r="J287" s="17" t="s">
        <v>437</v>
      </c>
      <c r="K287" s="17" t="s">
        <v>432</v>
      </c>
      <c r="L287" s="19"/>
      <c r="M287" s="17" t="s">
        <v>42</v>
      </c>
      <c r="N287" s="19"/>
      <c r="O287" s="17"/>
      <c r="P287" s="17"/>
      <c r="Q287" s="28"/>
      <c r="R287" s="17" t="s">
        <v>529</v>
      </c>
      <c r="S287" s="17"/>
      <c r="T287" s="20"/>
      <c r="U287" s="28"/>
      <c r="V287" s="17"/>
    </row>
    <row r="288" spans="1:23" ht="30" customHeight="1" x14ac:dyDescent="0.25">
      <c r="A288" s="17">
        <f>SUBTOTAL(103,B$2:B288)*1</f>
        <v>287</v>
      </c>
      <c r="B288" s="17" t="s">
        <v>292</v>
      </c>
      <c r="C288" s="18" t="s">
        <v>202</v>
      </c>
      <c r="D288" s="17"/>
      <c r="E288" s="17"/>
      <c r="F288" s="17"/>
      <c r="G288" s="17" t="s">
        <v>203</v>
      </c>
      <c r="H288" s="17" t="s">
        <v>618</v>
      </c>
      <c r="I288" s="17"/>
      <c r="J288" s="17" t="s">
        <v>204</v>
      </c>
      <c r="K288" s="17" t="s">
        <v>432</v>
      </c>
      <c r="L288" s="19"/>
      <c r="M288" s="17" t="s">
        <v>19</v>
      </c>
      <c r="N288" s="19"/>
      <c r="O288" s="17"/>
      <c r="P288" s="17"/>
      <c r="Q288" s="28"/>
      <c r="R288" s="17" t="s">
        <v>477</v>
      </c>
      <c r="S288" s="17"/>
      <c r="T288" s="20"/>
      <c r="U288" s="28"/>
      <c r="V288" s="17"/>
    </row>
    <row r="289" spans="1:23" ht="30" customHeight="1" x14ac:dyDescent="0.25">
      <c r="A289" s="17">
        <f>SUBTOTAL(103,B$2:B289)*1</f>
        <v>288</v>
      </c>
      <c r="B289" s="17" t="s">
        <v>292</v>
      </c>
      <c r="C289" s="18" t="s">
        <v>206</v>
      </c>
      <c r="D289" s="17" t="s">
        <v>78</v>
      </c>
      <c r="E289" s="17"/>
      <c r="F289" s="17"/>
      <c r="G289" s="17" t="s">
        <v>99</v>
      </c>
      <c r="H289" s="17" t="s">
        <v>622</v>
      </c>
      <c r="I289" s="17"/>
      <c r="J289" s="17" t="s">
        <v>207</v>
      </c>
      <c r="K289" s="17" t="s">
        <v>430</v>
      </c>
      <c r="L289" s="19"/>
      <c r="M289" s="17" t="s">
        <v>19</v>
      </c>
      <c r="N289" s="19"/>
      <c r="O289" s="17"/>
      <c r="P289" s="17"/>
      <c r="Q289" s="28"/>
      <c r="R289" s="17" t="s">
        <v>479</v>
      </c>
      <c r="S289" s="17"/>
      <c r="T289" s="20"/>
      <c r="U289" s="28"/>
      <c r="V289" s="17"/>
    </row>
    <row r="290" spans="1:23" ht="30" customHeight="1" x14ac:dyDescent="0.25">
      <c r="A290" s="17">
        <f>SUBTOTAL(103,B$2:B290)*1</f>
        <v>289</v>
      </c>
      <c r="B290" s="17" t="s">
        <v>292</v>
      </c>
      <c r="C290" s="18" t="s">
        <v>209</v>
      </c>
      <c r="D290" s="17" t="s">
        <v>31</v>
      </c>
      <c r="E290" s="17" t="s">
        <v>57</v>
      </c>
      <c r="F290" s="17" t="s">
        <v>170</v>
      </c>
      <c r="G290" s="17" t="s">
        <v>94</v>
      </c>
      <c r="H290" s="17" t="s">
        <v>624</v>
      </c>
      <c r="I290" s="17" t="s">
        <v>634</v>
      </c>
      <c r="J290" s="17" t="s">
        <v>208</v>
      </c>
      <c r="K290" s="17" t="s">
        <v>432</v>
      </c>
      <c r="L290" s="19"/>
      <c r="M290" s="17" t="s">
        <v>211</v>
      </c>
      <c r="N290" s="19"/>
      <c r="O290" s="17"/>
      <c r="P290" s="17"/>
      <c r="Q290" s="28"/>
      <c r="R290" s="17" t="s">
        <v>479</v>
      </c>
      <c r="S290" s="17"/>
      <c r="T290" s="20"/>
      <c r="U290" s="28"/>
      <c r="V290" s="17"/>
    </row>
    <row r="291" spans="1:23" ht="30" customHeight="1" x14ac:dyDescent="0.25">
      <c r="A291" s="17">
        <f>SUBTOTAL(103,B$2:B291)*1</f>
        <v>290</v>
      </c>
      <c r="B291" s="17" t="s">
        <v>292</v>
      </c>
      <c r="C291" s="18" t="s">
        <v>210</v>
      </c>
      <c r="D291" s="17" t="s">
        <v>13</v>
      </c>
      <c r="E291" s="17" t="s">
        <v>21</v>
      </c>
      <c r="F291" s="17"/>
      <c r="G291" s="17" t="s">
        <v>25</v>
      </c>
      <c r="H291" s="17" t="s">
        <v>618</v>
      </c>
      <c r="I291" s="17"/>
      <c r="J291" s="17" t="s">
        <v>1155</v>
      </c>
      <c r="K291" s="17" t="s">
        <v>432</v>
      </c>
      <c r="L291" s="19"/>
      <c r="M291" s="17" t="s">
        <v>19</v>
      </c>
      <c r="N291" s="19"/>
      <c r="O291" s="17"/>
      <c r="P291" s="17"/>
      <c r="Q291" s="28"/>
      <c r="R291" s="17" t="s">
        <v>482</v>
      </c>
      <c r="S291" s="17"/>
      <c r="T291" s="20"/>
      <c r="U291" s="28"/>
      <c r="V291" s="17"/>
    </row>
    <row r="292" spans="1:23" ht="30" customHeight="1" x14ac:dyDescent="0.25">
      <c r="A292" s="17">
        <f>SUBTOTAL(103,B$2:B292)*1</f>
        <v>291</v>
      </c>
      <c r="B292" s="17" t="s">
        <v>292</v>
      </c>
      <c r="C292" s="18" t="s">
        <v>213</v>
      </c>
      <c r="D292" s="17" t="s">
        <v>90</v>
      </c>
      <c r="E292" s="17" t="s">
        <v>97</v>
      </c>
      <c r="F292" s="17"/>
      <c r="G292" s="17" t="s">
        <v>65</v>
      </c>
      <c r="H292" s="17" t="s">
        <v>624</v>
      </c>
      <c r="I292" s="17"/>
      <c r="J292" s="17" t="s">
        <v>212</v>
      </c>
      <c r="K292" s="17" t="s">
        <v>430</v>
      </c>
      <c r="L292" s="19"/>
      <c r="M292" s="17" t="s">
        <v>19</v>
      </c>
      <c r="N292" s="19"/>
      <c r="O292" s="17"/>
      <c r="P292" s="17"/>
      <c r="Q292" s="28"/>
      <c r="R292" s="17" t="s">
        <v>474</v>
      </c>
      <c r="S292" s="17"/>
      <c r="T292" s="20"/>
      <c r="U292" s="28"/>
      <c r="V292" s="17" t="s">
        <v>859</v>
      </c>
      <c r="W292" s="52"/>
    </row>
    <row r="293" spans="1:23" ht="30" customHeight="1" x14ac:dyDescent="0.25">
      <c r="A293" s="17">
        <f>SUBTOTAL(103,B$2:B293)*1</f>
        <v>292</v>
      </c>
      <c r="B293" s="17" t="s">
        <v>292</v>
      </c>
      <c r="C293" s="18" t="s">
        <v>215</v>
      </c>
      <c r="D293" s="17" t="s">
        <v>90</v>
      </c>
      <c r="E293" s="17" t="s">
        <v>97</v>
      </c>
      <c r="F293" s="17"/>
      <c r="G293" s="17" t="s">
        <v>102</v>
      </c>
      <c r="H293" s="17" t="s">
        <v>618</v>
      </c>
      <c r="I293" s="17" t="s">
        <v>890</v>
      </c>
      <c r="J293" s="17" t="s">
        <v>438</v>
      </c>
      <c r="K293" s="17" t="s">
        <v>432</v>
      </c>
      <c r="L293" s="19"/>
      <c r="M293" s="17" t="s">
        <v>19</v>
      </c>
      <c r="N293" s="19"/>
      <c r="O293" s="17"/>
      <c r="P293" s="17"/>
      <c r="Q293" s="28"/>
      <c r="R293" s="17" t="s">
        <v>474</v>
      </c>
      <c r="S293" s="17"/>
      <c r="T293" s="20"/>
      <c r="U293" s="28"/>
      <c r="V293" s="17" t="s">
        <v>952</v>
      </c>
      <c r="W293" s="52"/>
    </row>
    <row r="294" spans="1:23" ht="30" customHeight="1" x14ac:dyDescent="0.25">
      <c r="A294" s="17">
        <f>SUBTOTAL(103,B$2:B294)*1</f>
        <v>293</v>
      </c>
      <c r="B294" s="17" t="s">
        <v>485</v>
      </c>
      <c r="C294" s="18" t="s">
        <v>488</v>
      </c>
      <c r="D294" s="17" t="s">
        <v>507</v>
      </c>
      <c r="E294" s="17" t="s">
        <v>97</v>
      </c>
      <c r="F294" s="17" t="s">
        <v>274</v>
      </c>
      <c r="G294" s="17" t="s">
        <v>190</v>
      </c>
      <c r="H294" s="17" t="s">
        <v>623</v>
      </c>
      <c r="I294" s="17" t="s">
        <v>630</v>
      </c>
      <c r="J294" s="17" t="s">
        <v>273</v>
      </c>
      <c r="K294" s="17" t="s">
        <v>499</v>
      </c>
      <c r="L294" s="19">
        <v>700000</v>
      </c>
      <c r="M294" s="17" t="s">
        <v>333</v>
      </c>
      <c r="N294" s="19"/>
      <c r="O294" s="17">
        <v>4</v>
      </c>
      <c r="P294" s="17"/>
      <c r="Q294" s="28"/>
      <c r="R294" s="17" t="s">
        <v>474</v>
      </c>
      <c r="S294" s="17"/>
      <c r="T294" s="20" t="s">
        <v>798</v>
      </c>
      <c r="U294" s="28">
        <v>45817</v>
      </c>
      <c r="V294" s="28" t="s">
        <v>951</v>
      </c>
      <c r="W294" s="52"/>
    </row>
    <row r="295" spans="1:23" ht="30" customHeight="1" x14ac:dyDescent="0.25">
      <c r="A295" s="17">
        <f>SUBTOTAL(103,B$2:B295)*1</f>
        <v>294</v>
      </c>
      <c r="B295" s="17" t="s">
        <v>292</v>
      </c>
      <c r="C295" s="18" t="s">
        <v>276</v>
      </c>
      <c r="D295" s="17" t="s">
        <v>13</v>
      </c>
      <c r="E295" s="17" t="s">
        <v>21</v>
      </c>
      <c r="F295" s="17"/>
      <c r="G295" s="17" t="s">
        <v>36</v>
      </c>
      <c r="H295" s="17" t="s">
        <v>624</v>
      </c>
      <c r="I295" s="17" t="s">
        <v>629</v>
      </c>
      <c r="J295" s="17" t="s">
        <v>277</v>
      </c>
      <c r="K295" s="17" t="s">
        <v>404</v>
      </c>
      <c r="L295" s="19"/>
      <c r="M295" s="17" t="s">
        <v>342</v>
      </c>
      <c r="N295" s="19"/>
      <c r="O295" s="17">
        <v>3</v>
      </c>
      <c r="P295" s="17"/>
      <c r="Q295" s="28"/>
      <c r="R295" s="17" t="s">
        <v>482</v>
      </c>
      <c r="S295" s="17"/>
      <c r="T295" s="20" t="s">
        <v>1575</v>
      </c>
      <c r="U295" s="28">
        <v>45929</v>
      </c>
      <c r="V295" s="17"/>
    </row>
    <row r="296" spans="1:23" ht="30" customHeight="1" x14ac:dyDescent="0.25">
      <c r="A296" s="17">
        <f>SUBTOTAL(103,B$2:B296)*1</f>
        <v>295</v>
      </c>
      <c r="B296" s="17" t="s">
        <v>2535</v>
      </c>
      <c r="C296" s="18" t="s">
        <v>2549</v>
      </c>
      <c r="D296" s="17" t="s">
        <v>325</v>
      </c>
      <c r="E296" s="17"/>
      <c r="F296" s="17"/>
      <c r="G296" s="17" t="s">
        <v>367</v>
      </c>
      <c r="H296" s="17" t="s">
        <v>1842</v>
      </c>
      <c r="I296" s="17"/>
      <c r="J296" s="17" t="s">
        <v>2547</v>
      </c>
      <c r="K296" s="17" t="s">
        <v>748</v>
      </c>
      <c r="L296" s="19"/>
      <c r="M296" s="17" t="s">
        <v>342</v>
      </c>
      <c r="N296" s="19"/>
      <c r="O296" s="17">
        <v>1</v>
      </c>
      <c r="P296" s="17"/>
      <c r="Q296" s="28"/>
      <c r="R296" s="17" t="s">
        <v>443</v>
      </c>
      <c r="S296" s="17"/>
      <c r="T296" s="20" t="s">
        <v>2587</v>
      </c>
      <c r="U296" s="28">
        <v>46034</v>
      </c>
      <c r="V296" s="17"/>
    </row>
    <row r="297" spans="1:23" ht="30" customHeight="1" x14ac:dyDescent="0.25">
      <c r="A297" s="17">
        <f>SUBTOTAL(103,B$2:B297)*1</f>
        <v>296</v>
      </c>
      <c r="B297" s="17" t="s">
        <v>292</v>
      </c>
      <c r="C297" s="18" t="s">
        <v>278</v>
      </c>
      <c r="D297" s="17" t="s">
        <v>90</v>
      </c>
      <c r="E297" s="17" t="s">
        <v>97</v>
      </c>
      <c r="F297" s="17" t="s">
        <v>46</v>
      </c>
      <c r="G297" s="17" t="s">
        <v>44</v>
      </c>
      <c r="H297" s="17" t="s">
        <v>618</v>
      </c>
      <c r="I297" s="17"/>
      <c r="J297" s="17" t="s">
        <v>279</v>
      </c>
      <c r="K297" s="17" t="s">
        <v>432</v>
      </c>
      <c r="L297" s="19"/>
      <c r="M297" s="17" t="s">
        <v>19</v>
      </c>
      <c r="N297" s="19"/>
      <c r="O297" s="17"/>
      <c r="P297" s="17"/>
      <c r="Q297" s="28"/>
      <c r="R297" s="17" t="s">
        <v>477</v>
      </c>
      <c r="S297" s="17"/>
      <c r="T297" s="20"/>
      <c r="U297" s="28"/>
      <c r="V297" s="17" t="s">
        <v>860</v>
      </c>
      <c r="W297" s="52"/>
    </row>
    <row r="298" spans="1:23" ht="30" customHeight="1" x14ac:dyDescent="0.25">
      <c r="A298" s="17">
        <f>SUBTOTAL(103,B$2:B298)*1</f>
        <v>297</v>
      </c>
      <c r="B298" s="17" t="s">
        <v>292</v>
      </c>
      <c r="C298" s="18" t="s">
        <v>283</v>
      </c>
      <c r="D298" s="17" t="s">
        <v>30</v>
      </c>
      <c r="E298" s="17" t="s">
        <v>284</v>
      </c>
      <c r="F298" s="17" t="s">
        <v>9</v>
      </c>
      <c r="G298" s="17" t="s">
        <v>25</v>
      </c>
      <c r="H298" s="17" t="s">
        <v>618</v>
      </c>
      <c r="I298" s="17" t="s">
        <v>632</v>
      </c>
      <c r="J298" s="17" t="s">
        <v>285</v>
      </c>
      <c r="K298" s="17" t="s">
        <v>432</v>
      </c>
      <c r="L298" s="19"/>
      <c r="M298" s="17" t="s">
        <v>300</v>
      </c>
      <c r="N298" s="19"/>
      <c r="O298" s="17">
        <v>2</v>
      </c>
      <c r="P298" s="17"/>
      <c r="Q298" s="28"/>
      <c r="R298" s="17" t="s">
        <v>476</v>
      </c>
      <c r="S298" s="17"/>
      <c r="T298" s="20" t="s">
        <v>841</v>
      </c>
      <c r="U298" s="28">
        <v>45824</v>
      </c>
      <c r="V298" s="28"/>
    </row>
    <row r="299" spans="1:23" ht="30" customHeight="1" x14ac:dyDescent="0.25">
      <c r="A299" s="17">
        <f>SUBTOTAL(103,B$2:B299)*1</f>
        <v>298</v>
      </c>
      <c r="B299" s="17" t="s">
        <v>292</v>
      </c>
      <c r="C299" s="18" t="s">
        <v>286</v>
      </c>
      <c r="D299" s="17" t="s">
        <v>78</v>
      </c>
      <c r="E299" s="17"/>
      <c r="F299" s="17"/>
      <c r="G299" s="17" t="s">
        <v>36</v>
      </c>
      <c r="H299" s="17" t="s">
        <v>624</v>
      </c>
      <c r="I299" s="17" t="s">
        <v>633</v>
      </c>
      <c r="J299" s="17" t="s">
        <v>287</v>
      </c>
      <c r="K299" s="17" t="s">
        <v>432</v>
      </c>
      <c r="L299" s="19"/>
      <c r="M299" s="17" t="s">
        <v>19</v>
      </c>
      <c r="N299" s="19"/>
      <c r="O299" s="17"/>
      <c r="P299" s="17"/>
      <c r="Q299" s="28"/>
      <c r="R299" s="17" t="s">
        <v>479</v>
      </c>
      <c r="S299" s="17"/>
      <c r="T299" s="20"/>
      <c r="U299" s="28"/>
      <c r="V299" s="17"/>
    </row>
    <row r="300" spans="1:23" ht="30" customHeight="1" x14ac:dyDescent="0.25">
      <c r="A300" s="17">
        <f>SUBTOTAL(103,B$2:B300)*1</f>
        <v>299</v>
      </c>
      <c r="B300" s="17" t="s">
        <v>485</v>
      </c>
      <c r="C300" s="18" t="s">
        <v>494</v>
      </c>
      <c r="D300" s="17" t="s">
        <v>507</v>
      </c>
      <c r="E300" s="17" t="s">
        <v>97</v>
      </c>
      <c r="F300" s="17" t="s">
        <v>148</v>
      </c>
      <c r="G300" s="17" t="s">
        <v>520</v>
      </c>
      <c r="H300" s="17" t="s">
        <v>618</v>
      </c>
      <c r="I300" s="17"/>
      <c r="J300" s="17" t="s">
        <v>493</v>
      </c>
      <c r="K300" s="17" t="s">
        <v>499</v>
      </c>
      <c r="L300" s="19"/>
      <c r="M300" s="17" t="s">
        <v>518</v>
      </c>
      <c r="N300" s="19"/>
      <c r="O300" s="17">
        <v>1</v>
      </c>
      <c r="P300" s="17"/>
      <c r="Q300" s="28"/>
      <c r="R300" s="17" t="s">
        <v>477</v>
      </c>
      <c r="S300" s="17"/>
      <c r="T300" s="20"/>
      <c r="U300" s="28">
        <v>45799</v>
      </c>
      <c r="V300" s="28" t="s">
        <v>894</v>
      </c>
    </row>
    <row r="301" spans="1:23" ht="30" customHeight="1" x14ac:dyDescent="0.25">
      <c r="A301" s="17">
        <f>SUBTOTAL(103,B$2:B301)*1</f>
        <v>300</v>
      </c>
      <c r="B301" s="17" t="s">
        <v>485</v>
      </c>
      <c r="C301" s="18" t="s">
        <v>495</v>
      </c>
      <c r="D301" s="17" t="s">
        <v>510</v>
      </c>
      <c r="E301" s="17" t="s">
        <v>511</v>
      </c>
      <c r="F301" s="17"/>
      <c r="G301" s="17"/>
      <c r="H301" s="17"/>
      <c r="I301" s="17"/>
      <c r="J301" s="17" t="s">
        <v>496</v>
      </c>
      <c r="K301" s="17" t="s">
        <v>500</v>
      </c>
      <c r="L301" s="19"/>
      <c r="M301" s="17" t="s">
        <v>324</v>
      </c>
      <c r="N301" s="19"/>
      <c r="O301" s="17">
        <v>1</v>
      </c>
      <c r="P301" s="17"/>
      <c r="Q301" s="28"/>
      <c r="R301" s="17" t="s">
        <v>523</v>
      </c>
      <c r="S301" s="17"/>
      <c r="T301" s="35"/>
      <c r="U301" s="28">
        <v>45799</v>
      </c>
      <c r="V301" s="28"/>
    </row>
    <row r="302" spans="1:23" ht="30" customHeight="1" x14ac:dyDescent="0.25">
      <c r="A302" s="17">
        <f>SUBTOTAL(103,B$2:B302)*1</f>
        <v>301</v>
      </c>
      <c r="B302" s="17" t="s">
        <v>292</v>
      </c>
      <c r="C302" s="18" t="s">
        <v>716</v>
      </c>
      <c r="D302" s="17" t="s">
        <v>90</v>
      </c>
      <c r="E302" s="17"/>
      <c r="F302" s="17"/>
      <c r="G302" s="17" t="s">
        <v>48</v>
      </c>
      <c r="H302" s="17" t="s">
        <v>618</v>
      </c>
      <c r="I302" s="17" t="s">
        <v>891</v>
      </c>
      <c r="J302" s="17" t="s">
        <v>715</v>
      </c>
      <c r="K302" s="17" t="s">
        <v>404</v>
      </c>
      <c r="L302" s="19"/>
      <c r="M302" s="17" t="s">
        <v>324</v>
      </c>
      <c r="N302" s="19"/>
      <c r="O302" s="17">
        <v>1</v>
      </c>
      <c r="P302" s="17"/>
      <c r="Q302" s="28"/>
      <c r="R302" s="17" t="s">
        <v>474</v>
      </c>
      <c r="S302" s="17"/>
      <c r="T302" s="35"/>
      <c r="U302" s="28">
        <v>45803</v>
      </c>
      <c r="V302" s="28" t="s">
        <v>950</v>
      </c>
      <c r="W302" s="52"/>
    </row>
    <row r="303" spans="1:23" ht="30" customHeight="1" x14ac:dyDescent="0.25">
      <c r="A303" s="17">
        <f>SUBTOTAL(103,B$2:B303)*1</f>
        <v>302</v>
      </c>
      <c r="B303" s="17" t="s">
        <v>292</v>
      </c>
      <c r="C303" s="18" t="s">
        <v>723</v>
      </c>
      <c r="D303" s="17" t="s">
        <v>31</v>
      </c>
      <c r="E303" s="17"/>
      <c r="F303" s="17"/>
      <c r="G303" s="17" t="s">
        <v>151</v>
      </c>
      <c r="H303" s="17" t="s">
        <v>619</v>
      </c>
      <c r="I303" s="17"/>
      <c r="J303" s="17" t="s">
        <v>722</v>
      </c>
      <c r="K303" s="17" t="s">
        <v>412</v>
      </c>
      <c r="L303" s="19"/>
      <c r="M303" s="17" t="s">
        <v>342</v>
      </c>
      <c r="N303" s="19"/>
      <c r="O303" s="17">
        <v>1</v>
      </c>
      <c r="P303" s="17"/>
      <c r="Q303" s="28"/>
      <c r="R303" s="17" t="s">
        <v>532</v>
      </c>
      <c r="S303" s="17"/>
      <c r="T303" s="35"/>
      <c r="U303" s="28">
        <v>45803</v>
      </c>
      <c r="V303" s="28"/>
    </row>
    <row r="304" spans="1:23" ht="30" customHeight="1" x14ac:dyDescent="0.25">
      <c r="A304" s="17">
        <f>SUBTOTAL(103,B$2:B304)*1</f>
        <v>303</v>
      </c>
      <c r="B304" s="17" t="s">
        <v>292</v>
      </c>
      <c r="C304" s="18" t="s">
        <v>732</v>
      </c>
      <c r="D304" s="17" t="s">
        <v>31</v>
      </c>
      <c r="E304" s="17" t="s">
        <v>57</v>
      </c>
      <c r="F304" s="17"/>
      <c r="G304" s="17" t="s">
        <v>25</v>
      </c>
      <c r="H304" s="17" t="s">
        <v>618</v>
      </c>
      <c r="I304" s="17"/>
      <c r="J304" s="17" t="s">
        <v>731</v>
      </c>
      <c r="K304" s="17" t="s">
        <v>404</v>
      </c>
      <c r="L304" s="19"/>
      <c r="M304" s="17" t="s">
        <v>342</v>
      </c>
      <c r="N304" s="19"/>
      <c r="O304" s="17">
        <v>1</v>
      </c>
      <c r="P304" s="17"/>
      <c r="Q304" s="28"/>
      <c r="R304" s="17" t="s">
        <v>479</v>
      </c>
      <c r="S304" s="17"/>
      <c r="T304" s="35"/>
      <c r="U304" s="28">
        <v>45803</v>
      </c>
      <c r="V304" s="28"/>
    </row>
    <row r="305" spans="1:23" ht="30" customHeight="1" x14ac:dyDescent="0.25">
      <c r="A305" s="17">
        <f>SUBTOTAL(103,B$2:B305)*1</f>
        <v>304</v>
      </c>
      <c r="B305" s="17" t="s">
        <v>292</v>
      </c>
      <c r="C305" s="18" t="s">
        <v>744</v>
      </c>
      <c r="D305" s="17" t="s">
        <v>13</v>
      </c>
      <c r="E305" s="17"/>
      <c r="F305" s="17"/>
      <c r="G305" s="17" t="s">
        <v>65</v>
      </c>
      <c r="H305" s="17" t="s">
        <v>620</v>
      </c>
      <c r="I305" s="17"/>
      <c r="J305" s="17" t="s">
        <v>745</v>
      </c>
      <c r="K305" s="17" t="s">
        <v>747</v>
      </c>
      <c r="L305" s="19"/>
      <c r="M305" s="17" t="s">
        <v>342</v>
      </c>
      <c r="N305" s="19"/>
      <c r="O305" s="17">
        <v>1</v>
      </c>
      <c r="P305" s="17"/>
      <c r="Q305" s="28"/>
      <c r="R305" s="17" t="s">
        <v>529</v>
      </c>
      <c r="S305" s="17"/>
      <c r="T305" s="35"/>
      <c r="U305" s="28">
        <v>45811</v>
      </c>
      <c r="V305" s="28"/>
    </row>
    <row r="306" spans="1:23" ht="30" customHeight="1" x14ac:dyDescent="0.25">
      <c r="A306" s="17">
        <f>SUBTOTAL(103,B$2:B306)*1</f>
        <v>305</v>
      </c>
      <c r="B306" s="62" t="s">
        <v>2535</v>
      </c>
      <c r="C306" s="18" t="s">
        <v>758</v>
      </c>
      <c r="D306" s="17" t="s">
        <v>90</v>
      </c>
      <c r="E306" s="17"/>
      <c r="F306" s="17"/>
      <c r="G306" s="17" t="s">
        <v>203</v>
      </c>
      <c r="H306" s="17" t="s">
        <v>618</v>
      </c>
      <c r="I306" s="17" t="s">
        <v>893</v>
      </c>
      <c r="J306" s="17" t="s">
        <v>757</v>
      </c>
      <c r="K306" s="17" t="s">
        <v>748</v>
      </c>
      <c r="L306" s="19"/>
      <c r="M306" s="17" t="s">
        <v>333</v>
      </c>
      <c r="N306" s="19"/>
      <c r="O306" s="17">
        <v>4</v>
      </c>
      <c r="P306" s="17"/>
      <c r="Q306" s="28"/>
      <c r="R306" s="17" t="s">
        <v>474</v>
      </c>
      <c r="S306" s="17"/>
      <c r="T306" s="35" t="s">
        <v>2880</v>
      </c>
      <c r="U306" s="28">
        <v>46097</v>
      </c>
      <c r="V306" s="28" t="s">
        <v>948</v>
      </c>
      <c r="W306" s="52"/>
    </row>
    <row r="307" spans="1:23" ht="30" customHeight="1" x14ac:dyDescent="0.25">
      <c r="A307" s="17">
        <f>SUBTOTAL(103,B$2:B307)*1</f>
        <v>306</v>
      </c>
      <c r="B307" s="17" t="s">
        <v>292</v>
      </c>
      <c r="C307" s="18" t="s">
        <v>1702</v>
      </c>
      <c r="D307" s="18" t="s">
        <v>540</v>
      </c>
      <c r="E307" s="17"/>
      <c r="F307" s="17"/>
      <c r="G307" s="17" t="s">
        <v>203</v>
      </c>
      <c r="H307" s="17" t="s">
        <v>618</v>
      </c>
      <c r="I307" s="17"/>
      <c r="J307" s="17" t="s">
        <v>757</v>
      </c>
      <c r="K307" s="17" t="s">
        <v>404</v>
      </c>
      <c r="L307" s="19"/>
      <c r="M307" s="17" t="s">
        <v>211</v>
      </c>
      <c r="N307" s="19"/>
      <c r="O307" s="17">
        <v>1</v>
      </c>
      <c r="P307" s="17"/>
      <c r="Q307" s="28"/>
      <c r="R307" s="17" t="s">
        <v>479</v>
      </c>
      <c r="S307" s="17"/>
      <c r="T307" s="35" t="s">
        <v>1710</v>
      </c>
      <c r="U307" s="28">
        <v>45957</v>
      </c>
      <c r="V307" s="17"/>
    </row>
    <row r="308" spans="1:23" ht="30" customHeight="1" x14ac:dyDescent="0.25">
      <c r="A308" s="17">
        <f>SUBTOTAL(103,B$2:B308)*1</f>
        <v>307</v>
      </c>
      <c r="B308" s="17" t="s">
        <v>292</v>
      </c>
      <c r="C308" s="18" t="s">
        <v>766</v>
      </c>
      <c r="D308" s="17" t="s">
        <v>9</v>
      </c>
      <c r="E308" s="17"/>
      <c r="F308" s="17"/>
      <c r="G308" s="17" t="s">
        <v>580</v>
      </c>
      <c r="H308" s="17" t="s">
        <v>618</v>
      </c>
      <c r="I308" s="17"/>
      <c r="J308" s="17" t="s">
        <v>765</v>
      </c>
      <c r="K308" s="17" t="s">
        <v>748</v>
      </c>
      <c r="L308" s="19"/>
      <c r="M308" s="17" t="s">
        <v>324</v>
      </c>
      <c r="N308" s="19"/>
      <c r="O308" s="17">
        <v>1</v>
      </c>
      <c r="P308" s="17"/>
      <c r="Q308" s="28"/>
      <c r="R308" s="17" t="s">
        <v>767</v>
      </c>
      <c r="S308" s="17"/>
      <c r="T308" s="35"/>
      <c r="U308" s="28">
        <v>45811</v>
      </c>
      <c r="V308" s="28"/>
    </row>
    <row r="309" spans="1:23" ht="30" customHeight="1" x14ac:dyDescent="0.25">
      <c r="A309" s="17">
        <f>SUBTOTAL(103,B$2:B309)*1</f>
        <v>308</v>
      </c>
      <c r="B309" s="17" t="s">
        <v>292</v>
      </c>
      <c r="C309" s="18" t="s">
        <v>771</v>
      </c>
      <c r="D309" s="17" t="s">
        <v>13</v>
      </c>
      <c r="E309" s="17" t="s">
        <v>21</v>
      </c>
      <c r="F309" s="17"/>
      <c r="G309" s="17" t="s">
        <v>82</v>
      </c>
      <c r="H309" s="17" t="s">
        <v>619</v>
      </c>
      <c r="I309" s="17"/>
      <c r="J309" s="17" t="s">
        <v>770</v>
      </c>
      <c r="K309" s="17" t="s">
        <v>748</v>
      </c>
      <c r="L309" s="19"/>
      <c r="M309" s="17" t="s">
        <v>342</v>
      </c>
      <c r="N309" s="19"/>
      <c r="O309" s="17">
        <v>1</v>
      </c>
      <c r="P309" s="17"/>
      <c r="Q309" s="28"/>
      <c r="R309" s="17" t="s">
        <v>474</v>
      </c>
      <c r="S309" s="17"/>
      <c r="T309" s="35"/>
      <c r="U309" s="28">
        <v>45811</v>
      </c>
      <c r="V309" s="28"/>
    </row>
    <row r="310" spans="1:23" ht="30" customHeight="1" x14ac:dyDescent="0.25">
      <c r="A310" s="17">
        <f>SUBTOTAL(103,B$2:B310)*1</f>
        <v>309</v>
      </c>
      <c r="B310" s="17" t="s">
        <v>292</v>
      </c>
      <c r="C310" s="18" t="s">
        <v>2086</v>
      </c>
      <c r="D310" s="17" t="s">
        <v>540</v>
      </c>
      <c r="E310" s="17"/>
      <c r="F310" s="17"/>
      <c r="G310" s="17" t="s">
        <v>82</v>
      </c>
      <c r="H310" s="17" t="s">
        <v>619</v>
      </c>
      <c r="I310" s="17"/>
      <c r="J310" s="17" t="s">
        <v>770</v>
      </c>
      <c r="K310" s="17" t="s">
        <v>748</v>
      </c>
      <c r="L310" s="19"/>
      <c r="M310" s="17" t="s">
        <v>342</v>
      </c>
      <c r="N310" s="19"/>
      <c r="O310" s="17">
        <v>1</v>
      </c>
      <c r="P310" s="17"/>
      <c r="Q310" s="28"/>
      <c r="R310" s="17" t="s">
        <v>529</v>
      </c>
      <c r="S310" s="17"/>
      <c r="T310" s="20" t="s">
        <v>2158</v>
      </c>
      <c r="U310" s="28">
        <v>46006</v>
      </c>
      <c r="V310" s="17"/>
    </row>
    <row r="311" spans="1:23" ht="45" x14ac:dyDescent="0.25">
      <c r="A311" s="17">
        <f>SUBTOTAL(103,B$2:B311)*1</f>
        <v>310</v>
      </c>
      <c r="B311" s="17" t="s">
        <v>292</v>
      </c>
      <c r="C311" s="18" t="s">
        <v>778</v>
      </c>
      <c r="D311" s="17" t="s">
        <v>31</v>
      </c>
      <c r="E311" s="17" t="s">
        <v>57</v>
      </c>
      <c r="F311" s="17"/>
      <c r="G311" s="17" t="s">
        <v>91</v>
      </c>
      <c r="H311" s="17" t="s">
        <v>618</v>
      </c>
      <c r="I311" s="17"/>
      <c r="J311" s="17" t="s">
        <v>777</v>
      </c>
      <c r="K311" s="17" t="s">
        <v>748</v>
      </c>
      <c r="L311" s="19"/>
      <c r="M311" s="17" t="s">
        <v>300</v>
      </c>
      <c r="N311" s="19"/>
      <c r="O311" s="17">
        <v>2</v>
      </c>
      <c r="P311" s="17"/>
      <c r="Q311" s="28"/>
      <c r="R311" s="17" t="s">
        <v>476</v>
      </c>
      <c r="S311" s="17"/>
      <c r="T311" s="35" t="s">
        <v>1912</v>
      </c>
      <c r="U311" s="28">
        <v>45985</v>
      </c>
      <c r="V311" s="28"/>
    </row>
    <row r="312" spans="1:23" ht="45" x14ac:dyDescent="0.25">
      <c r="A312" s="17">
        <f>SUBTOTAL(103,B$2:B312)*1</f>
        <v>311</v>
      </c>
      <c r="B312" s="17" t="s">
        <v>292</v>
      </c>
      <c r="C312" s="18" t="s">
        <v>797</v>
      </c>
      <c r="D312" s="17" t="s">
        <v>1287</v>
      </c>
      <c r="E312" s="17"/>
      <c r="F312" s="17"/>
      <c r="G312" s="17" t="s">
        <v>25</v>
      </c>
      <c r="H312" s="17" t="s">
        <v>618</v>
      </c>
      <c r="I312" s="17"/>
      <c r="J312" s="17" t="s">
        <v>797</v>
      </c>
      <c r="K312" s="17" t="s">
        <v>796</v>
      </c>
      <c r="L312" s="19"/>
      <c r="M312" s="17" t="s">
        <v>342</v>
      </c>
      <c r="N312" s="19"/>
      <c r="O312" s="17">
        <v>1</v>
      </c>
      <c r="P312" s="17"/>
      <c r="Q312" s="28"/>
      <c r="R312" s="17" t="s">
        <v>476</v>
      </c>
      <c r="S312" s="17"/>
      <c r="T312" s="35" t="s">
        <v>838</v>
      </c>
      <c r="U312" s="28">
        <v>45817</v>
      </c>
      <c r="V312" s="28"/>
    </row>
    <row r="313" spans="1:23" x14ac:dyDescent="0.25">
      <c r="A313" s="17">
        <f>SUBTOTAL(103,B$2:B313)*1</f>
        <v>312</v>
      </c>
      <c r="B313" s="62" t="s">
        <v>2535</v>
      </c>
      <c r="C313" s="18" t="s">
        <v>1698</v>
      </c>
      <c r="D313" s="18" t="s">
        <v>1287</v>
      </c>
      <c r="E313" s="17"/>
      <c r="F313" s="17"/>
      <c r="G313" s="17" t="s">
        <v>6</v>
      </c>
      <c r="H313" s="17" t="s">
        <v>618</v>
      </c>
      <c r="I313" s="17"/>
      <c r="J313" s="17" t="s">
        <v>1697</v>
      </c>
      <c r="K313" s="17" t="s">
        <v>406</v>
      </c>
      <c r="L313" s="19">
        <v>70000000</v>
      </c>
      <c r="M313" s="17" t="s">
        <v>333</v>
      </c>
      <c r="N313" s="19"/>
      <c r="O313" s="17">
        <v>15</v>
      </c>
      <c r="P313" s="17"/>
      <c r="Q313" s="28"/>
      <c r="R313" s="17" t="s">
        <v>529</v>
      </c>
      <c r="S313" s="17"/>
      <c r="T313" s="35" t="s">
        <v>2979</v>
      </c>
      <c r="U313" s="77">
        <v>46104</v>
      </c>
      <c r="V313" s="17"/>
    </row>
    <row r="314" spans="1:23" ht="75" x14ac:dyDescent="0.25">
      <c r="A314" s="17">
        <f>SUBTOTAL(103,B$2:B314)*1</f>
        <v>313</v>
      </c>
      <c r="B314" s="62" t="s">
        <v>2535</v>
      </c>
      <c r="C314" s="18" t="s">
        <v>1914</v>
      </c>
      <c r="D314" s="18" t="s">
        <v>1287</v>
      </c>
      <c r="E314" s="17"/>
      <c r="F314" s="17"/>
      <c r="G314" s="17" t="s">
        <v>6</v>
      </c>
      <c r="H314" s="17" t="s">
        <v>618</v>
      </c>
      <c r="I314" s="17"/>
      <c r="J314" s="17" t="s">
        <v>1697</v>
      </c>
      <c r="K314" s="17" t="s">
        <v>406</v>
      </c>
      <c r="L314" s="19"/>
      <c r="M314" s="17" t="s">
        <v>333</v>
      </c>
      <c r="N314" s="19"/>
      <c r="O314" s="17">
        <v>9</v>
      </c>
      <c r="P314" s="17"/>
      <c r="Q314" s="28"/>
      <c r="R314" s="17" t="s">
        <v>533</v>
      </c>
      <c r="S314" s="17"/>
      <c r="T314" s="35" t="s">
        <v>2978</v>
      </c>
      <c r="U314" s="77">
        <v>46104</v>
      </c>
      <c r="V314" s="17"/>
    </row>
    <row r="315" spans="1:23" ht="28.5" customHeight="1" x14ac:dyDescent="0.25">
      <c r="A315" s="17">
        <f>SUBTOTAL(103,B$2:B315)*1</f>
        <v>314</v>
      </c>
      <c r="B315" s="17" t="s">
        <v>292</v>
      </c>
      <c r="C315" s="18" t="s">
        <v>1986</v>
      </c>
      <c r="D315" s="18" t="s">
        <v>304</v>
      </c>
      <c r="E315" s="17" t="s">
        <v>1987</v>
      </c>
      <c r="F315" s="17"/>
      <c r="G315" s="17" t="s">
        <v>6</v>
      </c>
      <c r="H315" s="17" t="s">
        <v>618</v>
      </c>
      <c r="I315" s="17"/>
      <c r="J315" s="17" t="s">
        <v>1697</v>
      </c>
      <c r="K315" s="17" t="s">
        <v>406</v>
      </c>
      <c r="L315" s="19"/>
      <c r="M315" s="17" t="s">
        <v>211</v>
      </c>
      <c r="N315" s="19"/>
      <c r="O315" s="17">
        <v>1</v>
      </c>
      <c r="P315" s="17"/>
      <c r="Q315" s="28"/>
      <c r="R315" s="17" t="s">
        <v>474</v>
      </c>
      <c r="S315" s="17"/>
      <c r="T315" s="35" t="s">
        <v>2050</v>
      </c>
      <c r="U315" s="28">
        <v>45992</v>
      </c>
      <c r="V315" s="17"/>
    </row>
    <row r="316" spans="1:23" ht="30" customHeight="1" x14ac:dyDescent="0.25">
      <c r="A316" s="17">
        <f>SUBTOTAL(103,B$2:B316)*1</f>
        <v>315</v>
      </c>
      <c r="B316" s="17" t="s">
        <v>292</v>
      </c>
      <c r="C316" s="18" t="s">
        <v>1232</v>
      </c>
      <c r="D316" s="17" t="s">
        <v>90</v>
      </c>
      <c r="E316" s="17"/>
      <c r="F316" s="17"/>
      <c r="G316" s="17" t="s">
        <v>883</v>
      </c>
      <c r="H316" s="17" t="s">
        <v>884</v>
      </c>
      <c r="I316" s="17"/>
      <c r="J316" s="17" t="s">
        <v>879</v>
      </c>
      <c r="K316" s="17" t="s">
        <v>881</v>
      </c>
      <c r="L316" s="19">
        <v>1320000</v>
      </c>
      <c r="M316" s="17" t="s">
        <v>333</v>
      </c>
      <c r="N316" s="19"/>
      <c r="O316" s="17">
        <v>3</v>
      </c>
      <c r="P316" s="17"/>
      <c r="Q316" s="28"/>
      <c r="R316" s="17" t="s">
        <v>474</v>
      </c>
      <c r="S316" s="17"/>
      <c r="T316" s="20" t="s">
        <v>1231</v>
      </c>
      <c r="U316" s="28">
        <v>45874</v>
      </c>
      <c r="V316" s="17" t="s">
        <v>880</v>
      </c>
      <c r="W316" s="52"/>
    </row>
    <row r="317" spans="1:23" ht="30" customHeight="1" x14ac:dyDescent="0.25">
      <c r="A317" s="17">
        <f>SUBTOTAL(103,B$2:B317)*1</f>
        <v>316</v>
      </c>
      <c r="B317" s="17" t="s">
        <v>292</v>
      </c>
      <c r="C317" s="18" t="s">
        <v>872</v>
      </c>
      <c r="D317" s="17" t="s">
        <v>90</v>
      </c>
      <c r="E317" s="17"/>
      <c r="F317" s="17"/>
      <c r="G317" s="17" t="s">
        <v>65</v>
      </c>
      <c r="H317" s="17" t="s">
        <v>620</v>
      </c>
      <c r="I317" s="17"/>
      <c r="J317" s="17" t="s">
        <v>871</v>
      </c>
      <c r="K317" s="17" t="s">
        <v>881</v>
      </c>
      <c r="L317" s="19"/>
      <c r="M317" s="17" t="s">
        <v>324</v>
      </c>
      <c r="N317" s="19"/>
      <c r="O317" s="17"/>
      <c r="P317" s="17"/>
      <c r="Q317" s="28"/>
      <c r="R317" s="17" t="s">
        <v>474</v>
      </c>
      <c r="S317" s="17"/>
      <c r="T317" s="20" t="s">
        <v>882</v>
      </c>
      <c r="U317" s="28">
        <v>45828</v>
      </c>
      <c r="V317" s="17" t="s">
        <v>873</v>
      </c>
      <c r="W317" s="52"/>
    </row>
    <row r="318" spans="1:23" ht="30" customHeight="1" x14ac:dyDescent="0.25">
      <c r="A318" s="17">
        <f>SUBTOTAL(103,B$2:B318)*1</f>
        <v>317</v>
      </c>
      <c r="B318" s="17" t="s">
        <v>292</v>
      </c>
      <c r="C318" s="18" t="s">
        <v>924</v>
      </c>
      <c r="D318" s="18" t="s">
        <v>298</v>
      </c>
      <c r="E318" s="17"/>
      <c r="F318" s="17"/>
      <c r="G318" s="17" t="s">
        <v>381</v>
      </c>
      <c r="H318" s="17" t="s">
        <v>923</v>
      </c>
      <c r="I318" s="17"/>
      <c r="J318" s="17" t="s">
        <v>922</v>
      </c>
      <c r="K318" s="17" t="s">
        <v>748</v>
      </c>
      <c r="L318" s="19"/>
      <c r="M318" s="17" t="s">
        <v>324</v>
      </c>
      <c r="N318" s="19"/>
      <c r="O318" s="17">
        <v>1</v>
      </c>
      <c r="P318" s="17"/>
      <c r="Q318" s="28"/>
      <c r="R318" s="17" t="s">
        <v>468</v>
      </c>
      <c r="S318" s="17"/>
      <c r="T318" s="35" t="s">
        <v>985</v>
      </c>
      <c r="U318" s="28">
        <v>45831</v>
      </c>
      <c r="V318" s="28"/>
    </row>
    <row r="319" spans="1:23" ht="30" customHeight="1" x14ac:dyDescent="0.25">
      <c r="A319" s="17">
        <f>SUBTOTAL(103,B$2:B319)*1</f>
        <v>318</v>
      </c>
      <c r="B319" s="17" t="s">
        <v>2589</v>
      </c>
      <c r="C319" s="18" t="s">
        <v>2791</v>
      </c>
      <c r="D319" s="17" t="s">
        <v>325</v>
      </c>
      <c r="E319" s="17"/>
      <c r="F319" s="17"/>
      <c r="G319" s="17" t="s">
        <v>381</v>
      </c>
      <c r="H319" s="17" t="s">
        <v>923</v>
      </c>
      <c r="I319" s="17"/>
      <c r="J319" s="17" t="s">
        <v>922</v>
      </c>
      <c r="K319" s="17" t="s">
        <v>748</v>
      </c>
      <c r="L319" s="19"/>
      <c r="M319" s="17" t="s">
        <v>342</v>
      </c>
      <c r="N319" s="19"/>
      <c r="O319" s="17">
        <v>1</v>
      </c>
      <c r="P319" s="17"/>
      <c r="Q319" s="28"/>
      <c r="R319" s="17" t="s">
        <v>474</v>
      </c>
      <c r="S319" s="17"/>
      <c r="T319" s="20" t="s">
        <v>2814</v>
      </c>
      <c r="U319" s="61">
        <v>46078</v>
      </c>
      <c r="V319" s="17"/>
    </row>
    <row r="320" spans="1:23" ht="30" customHeight="1" x14ac:dyDescent="0.25">
      <c r="A320" s="17">
        <f>SUBTOTAL(103,B$2:B320)*1</f>
        <v>319</v>
      </c>
      <c r="B320" s="17" t="s">
        <v>292</v>
      </c>
      <c r="C320" s="18" t="s">
        <v>1131</v>
      </c>
      <c r="D320" s="18" t="s">
        <v>540</v>
      </c>
      <c r="E320" s="17"/>
      <c r="F320" s="17"/>
      <c r="G320" s="17" t="s">
        <v>65</v>
      </c>
      <c r="H320" s="17" t="s">
        <v>620</v>
      </c>
      <c r="I320" s="17"/>
      <c r="J320" s="17" t="s">
        <v>925</v>
      </c>
      <c r="K320" s="17" t="s">
        <v>406</v>
      </c>
      <c r="L320" s="19"/>
      <c r="M320" s="17" t="s">
        <v>333</v>
      </c>
      <c r="N320" s="19"/>
      <c r="O320" s="17">
        <v>6</v>
      </c>
      <c r="P320" s="17"/>
      <c r="Q320" s="28"/>
      <c r="R320" s="17" t="s">
        <v>479</v>
      </c>
      <c r="S320" s="17"/>
      <c r="T320" s="35" t="s">
        <v>1532</v>
      </c>
      <c r="U320" s="28">
        <v>45922</v>
      </c>
      <c r="V320" s="28"/>
    </row>
    <row r="321" spans="1:23" ht="30" customHeight="1" x14ac:dyDescent="0.25">
      <c r="A321" s="17">
        <f>SUBTOTAL(103,B$2:B321)*1</f>
        <v>320</v>
      </c>
      <c r="B321" s="17" t="s">
        <v>292</v>
      </c>
      <c r="C321" s="18" t="s">
        <v>930</v>
      </c>
      <c r="D321" s="18" t="s">
        <v>90</v>
      </c>
      <c r="E321" s="17"/>
      <c r="F321" s="17"/>
      <c r="G321" s="17" t="s">
        <v>580</v>
      </c>
      <c r="H321" s="17" t="s">
        <v>618</v>
      </c>
      <c r="I321" s="17"/>
      <c r="J321" s="17" t="s">
        <v>929</v>
      </c>
      <c r="K321" s="17" t="s">
        <v>748</v>
      </c>
      <c r="L321" s="19"/>
      <c r="M321" s="17" t="s">
        <v>342</v>
      </c>
      <c r="N321" s="19"/>
      <c r="O321" s="17">
        <v>2</v>
      </c>
      <c r="P321" s="17"/>
      <c r="Q321" s="28"/>
      <c r="R321" s="17" t="s">
        <v>474</v>
      </c>
      <c r="S321" s="17"/>
      <c r="T321" s="35" t="s">
        <v>995</v>
      </c>
      <c r="U321" s="28">
        <v>45838</v>
      </c>
      <c r="V321" s="28" t="s">
        <v>959</v>
      </c>
      <c r="W321" s="52"/>
    </row>
    <row r="322" spans="1:23" ht="30" customHeight="1" x14ac:dyDescent="0.25">
      <c r="A322" s="17">
        <f>SUBTOTAL(103,B$2:B322)*1</f>
        <v>321</v>
      </c>
      <c r="B322" s="17" t="s">
        <v>292</v>
      </c>
      <c r="C322" s="18" t="s">
        <v>932</v>
      </c>
      <c r="D322" s="18" t="s">
        <v>90</v>
      </c>
      <c r="E322" s="17"/>
      <c r="F322" s="17"/>
      <c r="G322" s="17" t="s">
        <v>99</v>
      </c>
      <c r="H322" s="17" t="s">
        <v>927</v>
      </c>
      <c r="I322" s="17"/>
      <c r="J322" s="17" t="s">
        <v>931</v>
      </c>
      <c r="K322" s="17" t="s">
        <v>405</v>
      </c>
      <c r="L322" s="19"/>
      <c r="M322" s="17" t="s">
        <v>342</v>
      </c>
      <c r="N322" s="19"/>
      <c r="O322" s="17">
        <v>1</v>
      </c>
      <c r="P322" s="17"/>
      <c r="Q322" s="28"/>
      <c r="R322" s="17" t="s">
        <v>474</v>
      </c>
      <c r="S322" s="17"/>
      <c r="T322" s="35" t="s">
        <v>987</v>
      </c>
      <c r="U322" s="28">
        <v>45831</v>
      </c>
      <c r="V322" s="28" t="s">
        <v>960</v>
      </c>
      <c r="W322" s="52"/>
    </row>
    <row r="323" spans="1:23" ht="30" customHeight="1" x14ac:dyDescent="0.25">
      <c r="A323" s="17">
        <f>SUBTOTAL(103,B$2:B323)*1</f>
        <v>322</v>
      </c>
      <c r="B323" s="17" t="s">
        <v>292</v>
      </c>
      <c r="C323" s="18" t="s">
        <v>934</v>
      </c>
      <c r="D323" s="18" t="s">
        <v>46</v>
      </c>
      <c r="E323" s="17"/>
      <c r="F323" s="17"/>
      <c r="G323" s="17" t="s">
        <v>94</v>
      </c>
      <c r="H323" s="17" t="s">
        <v>620</v>
      </c>
      <c r="I323" s="17"/>
      <c r="J323" s="17" t="s">
        <v>933</v>
      </c>
      <c r="K323" s="17" t="s">
        <v>748</v>
      </c>
      <c r="L323" s="19"/>
      <c r="M323" s="17" t="s">
        <v>342</v>
      </c>
      <c r="N323" s="19"/>
      <c r="O323" s="17">
        <v>1</v>
      </c>
      <c r="P323" s="17"/>
      <c r="Q323" s="28"/>
      <c r="R323" s="17" t="s">
        <v>474</v>
      </c>
      <c r="S323" s="17"/>
      <c r="T323" s="35" t="s">
        <v>988</v>
      </c>
      <c r="U323" s="28">
        <v>45831</v>
      </c>
      <c r="V323" s="28" t="s">
        <v>961</v>
      </c>
      <c r="W323" s="52"/>
    </row>
    <row r="324" spans="1:23" ht="75" x14ac:dyDescent="0.25">
      <c r="A324" s="17">
        <f>SUBTOTAL(103,B$2:B324)*1</f>
        <v>323</v>
      </c>
      <c r="B324" s="17" t="s">
        <v>292</v>
      </c>
      <c r="C324" s="18" t="s">
        <v>938</v>
      </c>
      <c r="D324" s="18" t="s">
        <v>298</v>
      </c>
      <c r="E324" s="17"/>
      <c r="F324" s="17"/>
      <c r="G324" s="17" t="s">
        <v>6</v>
      </c>
      <c r="H324" s="17" t="s">
        <v>618</v>
      </c>
      <c r="I324" s="17"/>
      <c r="J324" s="17" t="s">
        <v>938</v>
      </c>
      <c r="K324" s="17" t="s">
        <v>748</v>
      </c>
      <c r="L324" s="19">
        <v>36000000</v>
      </c>
      <c r="M324" s="17" t="s">
        <v>300</v>
      </c>
      <c r="N324" s="19"/>
      <c r="O324" s="17">
        <v>4</v>
      </c>
      <c r="P324" s="17"/>
      <c r="Q324" s="28"/>
      <c r="R324" s="17" t="s">
        <v>475</v>
      </c>
      <c r="S324" s="17"/>
      <c r="T324" s="35" t="s">
        <v>1699</v>
      </c>
      <c r="U324" s="28">
        <v>45957</v>
      </c>
      <c r="V324" s="28"/>
    </row>
    <row r="325" spans="1:23" ht="45" x14ac:dyDescent="0.25">
      <c r="A325" s="17">
        <f>SUBTOTAL(103,B$2:B325)*1</f>
        <v>324</v>
      </c>
      <c r="B325" s="17" t="s">
        <v>292</v>
      </c>
      <c r="C325" s="18" t="s">
        <v>945</v>
      </c>
      <c r="D325" s="18" t="s">
        <v>1287</v>
      </c>
      <c r="E325" s="17"/>
      <c r="F325" s="17"/>
      <c r="G325" s="17" t="s">
        <v>6</v>
      </c>
      <c r="H325" s="17" t="s">
        <v>618</v>
      </c>
      <c r="I325" s="17"/>
      <c r="J325" s="17" t="s">
        <v>945</v>
      </c>
      <c r="K325" s="17" t="s">
        <v>748</v>
      </c>
      <c r="L325" s="19">
        <v>8400000</v>
      </c>
      <c r="M325" s="17" t="s">
        <v>300</v>
      </c>
      <c r="N325" s="19"/>
      <c r="O325" s="17">
        <v>3</v>
      </c>
      <c r="P325" s="17"/>
      <c r="Q325" s="28"/>
      <c r="R325" s="17" t="s">
        <v>2608</v>
      </c>
      <c r="S325" s="17"/>
      <c r="T325" s="35" t="s">
        <v>1861</v>
      </c>
      <c r="U325" s="28">
        <v>45978</v>
      </c>
      <c r="V325" s="28"/>
    </row>
    <row r="326" spans="1:23" ht="30" customHeight="1" x14ac:dyDescent="0.25">
      <c r="A326" s="17">
        <f>SUBTOTAL(103,B$2:B326)*1</f>
        <v>325</v>
      </c>
      <c r="B326" s="17" t="s">
        <v>292</v>
      </c>
      <c r="C326" s="18" t="s">
        <v>992</v>
      </c>
      <c r="D326" s="18" t="s">
        <v>325</v>
      </c>
      <c r="E326" s="17" t="s">
        <v>97</v>
      </c>
      <c r="F326" s="17" t="s">
        <v>111</v>
      </c>
      <c r="G326" s="17" t="s">
        <v>306</v>
      </c>
      <c r="H326" s="17" t="s">
        <v>923</v>
      </c>
      <c r="I326" s="17"/>
      <c r="J326" s="17" t="s">
        <v>991</v>
      </c>
      <c r="K326" s="17" t="s">
        <v>404</v>
      </c>
      <c r="L326" s="19"/>
      <c r="M326" s="17" t="s">
        <v>333</v>
      </c>
      <c r="N326" s="19"/>
      <c r="O326" s="17">
        <v>4</v>
      </c>
      <c r="P326" s="17"/>
      <c r="Q326" s="28"/>
      <c r="R326" s="17" t="s">
        <v>474</v>
      </c>
      <c r="S326" s="17"/>
      <c r="T326" s="35" t="s">
        <v>1484</v>
      </c>
      <c r="U326" s="28">
        <v>45915</v>
      </c>
      <c r="V326" s="28" t="s">
        <v>1002</v>
      </c>
      <c r="W326" s="52"/>
    </row>
    <row r="327" spans="1:23" ht="30" customHeight="1" x14ac:dyDescent="0.25">
      <c r="A327" s="17">
        <f>SUBTOTAL(103,B$2:B327)*1</f>
        <v>326</v>
      </c>
      <c r="B327" s="17" t="s">
        <v>292</v>
      </c>
      <c r="C327" s="18" t="s">
        <v>1022</v>
      </c>
      <c r="D327" s="18" t="s">
        <v>1023</v>
      </c>
      <c r="E327" s="17"/>
      <c r="F327" s="17"/>
      <c r="G327" s="17" t="s">
        <v>82</v>
      </c>
      <c r="H327" s="17" t="s">
        <v>619</v>
      </c>
      <c r="I327" s="17"/>
      <c r="J327" s="17" t="s">
        <v>1021</v>
      </c>
      <c r="K327" s="17" t="s">
        <v>406</v>
      </c>
      <c r="L327" s="19"/>
      <c r="M327" s="17" t="s">
        <v>211</v>
      </c>
      <c r="N327" s="19"/>
      <c r="O327" s="17">
        <v>2</v>
      </c>
      <c r="P327" s="17"/>
      <c r="Q327" s="28"/>
      <c r="R327" s="17" t="s">
        <v>479</v>
      </c>
      <c r="S327" s="17"/>
      <c r="T327" s="35" t="s">
        <v>1046</v>
      </c>
      <c r="U327" s="28">
        <v>45845</v>
      </c>
      <c r="V327" s="28"/>
    </row>
    <row r="328" spans="1:23" ht="30" customHeight="1" x14ac:dyDescent="0.25">
      <c r="A328" s="17">
        <f>SUBTOTAL(103,B$2:B328)*1</f>
        <v>327</v>
      </c>
      <c r="B328" s="17" t="s">
        <v>292</v>
      </c>
      <c r="C328" s="18" t="s">
        <v>1041</v>
      </c>
      <c r="D328" s="18" t="s">
        <v>325</v>
      </c>
      <c r="E328" s="17"/>
      <c r="F328" s="17"/>
      <c r="G328" s="17" t="s">
        <v>141</v>
      </c>
      <c r="H328" s="17" t="s">
        <v>618</v>
      </c>
      <c r="I328" s="17"/>
      <c r="J328" s="17" t="s">
        <v>1042</v>
      </c>
      <c r="K328" s="17" t="s">
        <v>405</v>
      </c>
      <c r="L328" s="19"/>
      <c r="M328" s="17" t="s">
        <v>211</v>
      </c>
      <c r="N328" s="19"/>
      <c r="O328" s="17">
        <v>2</v>
      </c>
      <c r="P328" s="17"/>
      <c r="Q328" s="28"/>
      <c r="R328" s="17" t="s">
        <v>474</v>
      </c>
      <c r="S328" s="17"/>
      <c r="T328" s="35" t="s">
        <v>1047</v>
      </c>
      <c r="U328" s="28">
        <v>45845</v>
      </c>
      <c r="V328" s="28"/>
    </row>
    <row r="329" spans="1:23" ht="30" customHeight="1" x14ac:dyDescent="0.25">
      <c r="A329" s="17">
        <f>SUBTOTAL(103,B$2:B329)*1</f>
        <v>328</v>
      </c>
      <c r="B329" s="17" t="s">
        <v>292</v>
      </c>
      <c r="C329" s="18" t="s">
        <v>1043</v>
      </c>
      <c r="D329" s="18" t="s">
        <v>304</v>
      </c>
      <c r="E329" s="17"/>
      <c r="F329" s="17"/>
      <c r="G329" s="17" t="s">
        <v>99</v>
      </c>
      <c r="H329" s="17" t="s">
        <v>619</v>
      </c>
      <c r="I329" s="17"/>
      <c r="J329" s="17" t="s">
        <v>1043</v>
      </c>
      <c r="K329" s="17" t="s">
        <v>412</v>
      </c>
      <c r="L329" s="19"/>
      <c r="M329" s="17" t="s">
        <v>211</v>
      </c>
      <c r="N329" s="19"/>
      <c r="O329" s="17">
        <v>2</v>
      </c>
      <c r="P329" s="17"/>
      <c r="Q329" s="28"/>
      <c r="R329" s="17" t="s">
        <v>474</v>
      </c>
      <c r="S329" s="17"/>
      <c r="T329" s="35" t="s">
        <v>1048</v>
      </c>
      <c r="U329" s="28">
        <v>45845</v>
      </c>
      <c r="V329" s="28"/>
    </row>
    <row r="330" spans="1:23" ht="30" customHeight="1" x14ac:dyDescent="0.25">
      <c r="A330" s="17">
        <f>SUBTOTAL(103,B$2:B330)*1</f>
        <v>329</v>
      </c>
      <c r="B330" s="17" t="s">
        <v>292</v>
      </c>
      <c r="C330" s="18" t="s">
        <v>1056</v>
      </c>
      <c r="D330" s="18" t="s">
        <v>122</v>
      </c>
      <c r="E330" s="17"/>
      <c r="F330" s="17"/>
      <c r="G330" s="17" t="s">
        <v>580</v>
      </c>
      <c r="H330" s="17" t="s">
        <v>618</v>
      </c>
      <c r="I330" s="17"/>
      <c r="J330" s="17" t="s">
        <v>1057</v>
      </c>
      <c r="K330" s="17" t="s">
        <v>412</v>
      </c>
      <c r="L330" s="19"/>
      <c r="M330" s="17" t="s">
        <v>211</v>
      </c>
      <c r="N330" s="19"/>
      <c r="O330" s="17">
        <v>1</v>
      </c>
      <c r="P330" s="17"/>
      <c r="Q330" s="28"/>
      <c r="R330" s="17" t="s">
        <v>476</v>
      </c>
      <c r="S330" s="17"/>
      <c r="T330" s="35" t="s">
        <v>1116</v>
      </c>
      <c r="U330" s="28">
        <v>45852</v>
      </c>
      <c r="V330" s="28"/>
    </row>
    <row r="331" spans="1:23" ht="30" customHeight="1" x14ac:dyDescent="0.25">
      <c r="A331" s="17">
        <f>SUBTOTAL(103,B$2:B331)*1</f>
        <v>330</v>
      </c>
      <c r="B331" s="62" t="s">
        <v>2535</v>
      </c>
      <c r="C331" s="18" t="s">
        <v>1147</v>
      </c>
      <c r="D331" s="18" t="s">
        <v>90</v>
      </c>
      <c r="E331" s="17"/>
      <c r="F331" s="17"/>
      <c r="G331" s="17" t="s">
        <v>36</v>
      </c>
      <c r="H331" s="17" t="s">
        <v>620</v>
      </c>
      <c r="I331" s="17"/>
      <c r="J331" s="17" t="s">
        <v>1083</v>
      </c>
      <c r="K331" s="17" t="s">
        <v>404</v>
      </c>
      <c r="L331" s="19"/>
      <c r="M331" s="17" t="s">
        <v>333</v>
      </c>
      <c r="N331" s="19"/>
      <c r="O331" s="17">
        <v>6</v>
      </c>
      <c r="P331" s="17"/>
      <c r="Q331" s="28"/>
      <c r="R331" s="17" t="s">
        <v>2605</v>
      </c>
      <c r="S331" s="17"/>
      <c r="T331" s="35" t="s">
        <v>2649</v>
      </c>
      <c r="U331" s="28">
        <v>46041</v>
      </c>
      <c r="V331" s="28" t="s">
        <v>1162</v>
      </c>
    </row>
    <row r="332" spans="1:23" ht="30" customHeight="1" x14ac:dyDescent="0.25">
      <c r="A332" s="17">
        <f>SUBTOTAL(103,B$2:B332)*1</f>
        <v>331</v>
      </c>
      <c r="B332" s="62" t="s">
        <v>2535</v>
      </c>
      <c r="C332" s="18" t="s">
        <v>2110</v>
      </c>
      <c r="D332" s="18" t="s">
        <v>31</v>
      </c>
      <c r="E332" s="17"/>
      <c r="F332" s="17"/>
      <c r="G332" s="17" t="s">
        <v>36</v>
      </c>
      <c r="H332" s="17" t="s">
        <v>620</v>
      </c>
      <c r="I332" s="17"/>
      <c r="J332" s="17" t="s">
        <v>1083</v>
      </c>
      <c r="K332" s="17" t="s">
        <v>404</v>
      </c>
      <c r="L332" s="19"/>
      <c r="M332" s="17" t="s">
        <v>300</v>
      </c>
      <c r="N332" s="19"/>
      <c r="O332" s="17">
        <v>3</v>
      </c>
      <c r="P332" s="17"/>
      <c r="Q332" s="28"/>
      <c r="R332" s="17" t="s">
        <v>2552</v>
      </c>
      <c r="S332" s="17"/>
      <c r="T332" s="35" t="s">
        <v>2554</v>
      </c>
      <c r="U332" s="28">
        <v>46034</v>
      </c>
      <c r="V332" s="28"/>
    </row>
    <row r="333" spans="1:23" ht="30" customHeight="1" x14ac:dyDescent="0.25">
      <c r="A333" s="17">
        <f>SUBTOTAL(103,B$2:B333)*1</f>
        <v>332</v>
      </c>
      <c r="B333" s="17" t="s">
        <v>292</v>
      </c>
      <c r="C333" s="18" t="s">
        <v>1084</v>
      </c>
      <c r="D333" s="18" t="s">
        <v>1703</v>
      </c>
      <c r="E333" s="17"/>
      <c r="F333" s="17"/>
      <c r="G333" s="17" t="s">
        <v>1085</v>
      </c>
      <c r="H333" s="17" t="s">
        <v>620</v>
      </c>
      <c r="I333" s="17"/>
      <c r="J333" s="17" t="s">
        <v>1086</v>
      </c>
      <c r="K333" s="17" t="s">
        <v>404</v>
      </c>
      <c r="L333" s="19"/>
      <c r="M333" s="17" t="s">
        <v>300</v>
      </c>
      <c r="N333" s="19"/>
      <c r="O333" s="17">
        <v>3</v>
      </c>
      <c r="P333" s="17"/>
      <c r="Q333" s="28"/>
      <c r="R333" s="17" t="s">
        <v>475</v>
      </c>
      <c r="S333" s="17"/>
      <c r="T333" s="35" t="s">
        <v>1355</v>
      </c>
      <c r="U333" s="28">
        <v>45894</v>
      </c>
      <c r="V333" s="28"/>
    </row>
    <row r="334" spans="1:23" ht="30" customHeight="1" x14ac:dyDescent="0.25">
      <c r="A334" s="17">
        <f>SUBTOTAL(103,B$2:B334)*1</f>
        <v>333</v>
      </c>
      <c r="B334" s="17" t="s">
        <v>292</v>
      </c>
      <c r="C334" s="18" t="s">
        <v>1090</v>
      </c>
      <c r="D334" s="18" t="s">
        <v>31</v>
      </c>
      <c r="E334" s="17"/>
      <c r="F334" s="17"/>
      <c r="G334" s="17" t="s">
        <v>22</v>
      </c>
      <c r="H334" s="17" t="s">
        <v>618</v>
      </c>
      <c r="I334" s="17"/>
      <c r="J334" s="17" t="s">
        <v>1091</v>
      </c>
      <c r="K334" s="17" t="s">
        <v>404</v>
      </c>
      <c r="L334" s="19"/>
      <c r="M334" s="17" t="s">
        <v>42</v>
      </c>
      <c r="N334" s="19"/>
      <c r="O334" s="17">
        <v>1</v>
      </c>
      <c r="P334" s="17"/>
      <c r="Q334" s="28"/>
      <c r="R334" s="17" t="s">
        <v>532</v>
      </c>
      <c r="S334" s="17"/>
      <c r="T334" s="35" t="s">
        <v>1118</v>
      </c>
      <c r="U334" s="28">
        <v>45852</v>
      </c>
      <c r="V334" s="28"/>
    </row>
    <row r="335" spans="1:23" ht="30" customHeight="1" x14ac:dyDescent="0.25">
      <c r="A335" s="17">
        <f>SUBTOTAL(103,B$2:B335)*1</f>
        <v>334</v>
      </c>
      <c r="B335" s="17" t="s">
        <v>292</v>
      </c>
      <c r="C335" s="18" t="s">
        <v>1092</v>
      </c>
      <c r="D335" s="18" t="s">
        <v>178</v>
      </c>
      <c r="E335" s="17"/>
      <c r="F335" s="17"/>
      <c r="G335" s="17" t="s">
        <v>1087</v>
      </c>
      <c r="H335" s="17" t="s">
        <v>620</v>
      </c>
      <c r="I335" s="17"/>
      <c r="J335" s="17" t="s">
        <v>1093</v>
      </c>
      <c r="K335" s="17" t="s">
        <v>412</v>
      </c>
      <c r="L335" s="19"/>
      <c r="M335" s="17" t="s">
        <v>211</v>
      </c>
      <c r="N335" s="19"/>
      <c r="O335" s="17">
        <v>1</v>
      </c>
      <c r="P335" s="17"/>
      <c r="Q335" s="28"/>
      <c r="R335" s="17" t="s">
        <v>529</v>
      </c>
      <c r="S335" s="17"/>
      <c r="T335" s="35" t="s">
        <v>1119</v>
      </c>
      <c r="U335" s="28">
        <v>45852</v>
      </c>
      <c r="V335" s="28"/>
    </row>
    <row r="336" spans="1:23" ht="30" customHeight="1" x14ac:dyDescent="0.25">
      <c r="A336" s="17">
        <f>SUBTOTAL(103,B$2:B336)*1</f>
        <v>335</v>
      </c>
      <c r="B336" s="17" t="s">
        <v>292</v>
      </c>
      <c r="C336" s="18" t="s">
        <v>1096</v>
      </c>
      <c r="D336" s="18" t="s">
        <v>9</v>
      </c>
      <c r="E336" s="17"/>
      <c r="F336" s="17"/>
      <c r="G336" s="17" t="s">
        <v>84</v>
      </c>
      <c r="H336" s="17" t="s">
        <v>618</v>
      </c>
      <c r="I336" s="17"/>
      <c r="J336" s="17" t="s">
        <v>1097</v>
      </c>
      <c r="K336" s="17" t="s">
        <v>404</v>
      </c>
      <c r="L336" s="19"/>
      <c r="M336" s="17" t="s">
        <v>211</v>
      </c>
      <c r="N336" s="19"/>
      <c r="O336" s="17">
        <v>1</v>
      </c>
      <c r="P336" s="17"/>
      <c r="Q336" s="28"/>
      <c r="R336" s="17" t="s">
        <v>767</v>
      </c>
      <c r="S336" s="17"/>
      <c r="T336" s="35" t="s">
        <v>1120</v>
      </c>
      <c r="U336" s="28">
        <v>45852</v>
      </c>
      <c r="V336" s="28"/>
    </row>
    <row r="337" spans="1:22" ht="30" customHeight="1" x14ac:dyDescent="0.25">
      <c r="A337" s="17">
        <f>SUBTOTAL(103,B$2:B337)*1</f>
        <v>336</v>
      </c>
      <c r="B337" s="17" t="s">
        <v>292</v>
      </c>
      <c r="C337" s="18" t="s">
        <v>1168</v>
      </c>
      <c r="D337" s="18" t="s">
        <v>90</v>
      </c>
      <c r="E337" s="17"/>
      <c r="F337" s="17"/>
      <c r="G337" s="17" t="s">
        <v>1171</v>
      </c>
      <c r="H337" s="17" t="s">
        <v>1172</v>
      </c>
      <c r="I337" s="17"/>
      <c r="J337" s="17" t="s">
        <v>1167</v>
      </c>
      <c r="K337" s="17" t="s">
        <v>1159</v>
      </c>
      <c r="L337" s="19">
        <v>2000000</v>
      </c>
      <c r="M337" s="17" t="s">
        <v>1175</v>
      </c>
      <c r="N337" s="19"/>
      <c r="O337" s="17">
        <v>1</v>
      </c>
      <c r="P337" s="17"/>
      <c r="Q337" s="28"/>
      <c r="R337" s="17" t="s">
        <v>443</v>
      </c>
      <c r="S337" s="17"/>
      <c r="T337" s="35"/>
      <c r="U337" s="28">
        <v>45859</v>
      </c>
      <c r="V337" s="28" t="s">
        <v>1169</v>
      </c>
    </row>
    <row r="338" spans="1:22" ht="30" customHeight="1" x14ac:dyDescent="0.25">
      <c r="A338" s="17">
        <f>SUBTOTAL(103,B$2:B338)*1</f>
        <v>337</v>
      </c>
      <c r="B338" s="17" t="s">
        <v>292</v>
      </c>
      <c r="C338" s="18" t="s">
        <v>1165</v>
      </c>
      <c r="D338" s="18" t="s">
        <v>90</v>
      </c>
      <c r="E338" s="17"/>
      <c r="F338" s="17"/>
      <c r="G338" s="17" t="s">
        <v>1171</v>
      </c>
      <c r="H338" s="17" t="s">
        <v>1172</v>
      </c>
      <c r="I338" s="17"/>
      <c r="J338" s="17" t="s">
        <v>1170</v>
      </c>
      <c r="K338" s="17" t="s">
        <v>1159</v>
      </c>
      <c r="L338" s="19">
        <v>2000000</v>
      </c>
      <c r="M338" s="17" t="s">
        <v>300</v>
      </c>
      <c r="N338" s="19"/>
      <c r="O338" s="17">
        <v>2</v>
      </c>
      <c r="P338" s="17"/>
      <c r="Q338" s="28"/>
      <c r="R338" s="17" t="s">
        <v>443</v>
      </c>
      <c r="S338" s="17"/>
      <c r="T338" s="35" t="s">
        <v>1277</v>
      </c>
      <c r="U338" s="28">
        <v>45880</v>
      </c>
      <c r="V338" s="28" t="s">
        <v>1166</v>
      </c>
    </row>
    <row r="339" spans="1:22" ht="30" customHeight="1" x14ac:dyDescent="0.25">
      <c r="A339" s="17">
        <f>SUBTOTAL(103,B$2:B339)*1</f>
        <v>338</v>
      </c>
      <c r="B339" s="17" t="s">
        <v>292</v>
      </c>
      <c r="C339" s="18" t="s">
        <v>1163</v>
      </c>
      <c r="D339" s="18" t="s">
        <v>90</v>
      </c>
      <c r="E339" s="17"/>
      <c r="F339" s="17"/>
      <c r="G339" s="17" t="s">
        <v>65</v>
      </c>
      <c r="H339" s="17" t="s">
        <v>620</v>
      </c>
      <c r="I339" s="17"/>
      <c r="J339" s="17" t="s">
        <v>1173</v>
      </c>
      <c r="K339" s="17" t="s">
        <v>1174</v>
      </c>
      <c r="L339" s="19"/>
      <c r="M339" s="17" t="s">
        <v>1175</v>
      </c>
      <c r="N339" s="19"/>
      <c r="O339" s="17">
        <v>1</v>
      </c>
      <c r="P339" s="17"/>
      <c r="Q339" s="28"/>
      <c r="R339" s="17" t="s">
        <v>443</v>
      </c>
      <c r="S339" s="17"/>
      <c r="T339" s="35"/>
      <c r="U339" s="28">
        <v>45859</v>
      </c>
      <c r="V339" s="28" t="s">
        <v>1164</v>
      </c>
    </row>
    <row r="340" spans="1:22" ht="30" customHeight="1" x14ac:dyDescent="0.25">
      <c r="A340" s="17">
        <f>SUBTOTAL(103,B$2:B340)*1</f>
        <v>339</v>
      </c>
      <c r="B340" s="17" t="s">
        <v>292</v>
      </c>
      <c r="C340" s="18" t="s">
        <v>1129</v>
      </c>
      <c r="D340" s="18" t="s">
        <v>540</v>
      </c>
      <c r="E340" s="17"/>
      <c r="F340" s="17"/>
      <c r="G340" s="17" t="s">
        <v>141</v>
      </c>
      <c r="H340" s="17" t="s">
        <v>618</v>
      </c>
      <c r="I340" s="17"/>
      <c r="J340" s="17" t="s">
        <v>1128</v>
      </c>
      <c r="K340" s="17" t="s">
        <v>404</v>
      </c>
      <c r="L340" s="19"/>
      <c r="M340" s="17" t="s">
        <v>60</v>
      </c>
      <c r="N340" s="19"/>
      <c r="O340" s="17" t="s">
        <v>54</v>
      </c>
      <c r="P340" s="17"/>
      <c r="Q340" s="28"/>
      <c r="R340" s="17" t="s">
        <v>479</v>
      </c>
      <c r="S340" s="17"/>
      <c r="T340" s="35" t="s">
        <v>1193</v>
      </c>
      <c r="U340" s="28">
        <v>45859</v>
      </c>
      <c r="V340" s="28"/>
    </row>
    <row r="341" spans="1:22" ht="30" customHeight="1" x14ac:dyDescent="0.25">
      <c r="A341" s="17">
        <f>SUBTOTAL(103,B$2:B341)*1</f>
        <v>340</v>
      </c>
      <c r="B341" s="17" t="s">
        <v>2589</v>
      </c>
      <c r="C341" s="18" t="s">
        <v>2651</v>
      </c>
      <c r="D341" s="17" t="s">
        <v>325</v>
      </c>
      <c r="E341" s="17"/>
      <c r="F341" s="17"/>
      <c r="G341" s="17" t="s">
        <v>344</v>
      </c>
      <c r="H341" s="17" t="s">
        <v>923</v>
      </c>
      <c r="I341" s="17"/>
      <c r="J341" s="17" t="s">
        <v>1177</v>
      </c>
      <c r="K341" s="17" t="s">
        <v>748</v>
      </c>
      <c r="L341" s="19"/>
      <c r="M341" s="17" t="s">
        <v>342</v>
      </c>
      <c r="N341" s="19"/>
      <c r="O341" s="17">
        <v>1</v>
      </c>
      <c r="P341" s="17"/>
      <c r="Q341" s="28"/>
      <c r="R341" s="17" t="s">
        <v>443</v>
      </c>
      <c r="S341" s="17"/>
      <c r="T341" s="20" t="s">
        <v>2672</v>
      </c>
      <c r="U341" s="28">
        <v>46041</v>
      </c>
      <c r="V341" s="17"/>
    </row>
    <row r="342" spans="1:22" x14ac:dyDescent="0.25">
      <c r="A342" s="17">
        <f>SUBTOTAL(103,B$2:B342)*1</f>
        <v>341</v>
      </c>
      <c r="B342" s="62" t="s">
        <v>2535</v>
      </c>
      <c r="C342" s="18" t="s">
        <v>1152</v>
      </c>
      <c r="D342" s="18" t="s">
        <v>9</v>
      </c>
      <c r="E342" s="17"/>
      <c r="F342" s="17"/>
      <c r="G342" s="17" t="s">
        <v>32</v>
      </c>
      <c r="H342" s="17" t="s">
        <v>619</v>
      </c>
      <c r="I342" s="17"/>
      <c r="J342" s="17" t="s">
        <v>1151</v>
      </c>
      <c r="K342" s="17" t="s">
        <v>412</v>
      </c>
      <c r="L342" s="19">
        <v>6800000</v>
      </c>
      <c r="M342" s="17" t="s">
        <v>60</v>
      </c>
      <c r="N342" s="19"/>
      <c r="O342" s="17">
        <v>13</v>
      </c>
      <c r="P342" s="17"/>
      <c r="Q342" s="28"/>
      <c r="R342" s="17" t="s">
        <v>2993</v>
      </c>
      <c r="S342" s="17"/>
      <c r="T342" s="35" t="s">
        <v>2992</v>
      </c>
      <c r="U342" s="77">
        <v>46104</v>
      </c>
      <c r="V342" s="28"/>
    </row>
    <row r="343" spans="1:22" ht="45" x14ac:dyDescent="0.25">
      <c r="A343" s="17">
        <f>SUBTOTAL(103,B$2:B343)*1</f>
        <v>342</v>
      </c>
      <c r="B343" s="17" t="s">
        <v>292</v>
      </c>
      <c r="C343" s="18" t="s">
        <v>1157</v>
      </c>
      <c r="D343" s="18" t="s">
        <v>325</v>
      </c>
      <c r="E343" s="17"/>
      <c r="F343" s="17"/>
      <c r="G343" s="17" t="s">
        <v>41</v>
      </c>
      <c r="H343" s="17" t="s">
        <v>620</v>
      </c>
      <c r="I343" s="17"/>
      <c r="J343" s="17" t="s">
        <v>1158</v>
      </c>
      <c r="K343" s="17" t="s">
        <v>405</v>
      </c>
      <c r="L343" s="19"/>
      <c r="M343" s="17" t="s">
        <v>211</v>
      </c>
      <c r="N343" s="19"/>
      <c r="O343" s="17">
        <v>1</v>
      </c>
      <c r="P343" s="17"/>
      <c r="Q343" s="28"/>
      <c r="R343" s="17" t="s">
        <v>474</v>
      </c>
      <c r="S343" s="17"/>
      <c r="T343" s="35" t="s">
        <v>1195</v>
      </c>
      <c r="U343" s="28">
        <v>45859</v>
      </c>
      <c r="V343" s="28"/>
    </row>
    <row r="344" spans="1:22" ht="30" customHeight="1" x14ac:dyDescent="0.25">
      <c r="A344" s="17">
        <f>SUBTOTAL(103,B$2:B344)*1</f>
        <v>343</v>
      </c>
      <c r="B344" s="17" t="s">
        <v>292</v>
      </c>
      <c r="C344" s="18" t="s">
        <v>1238</v>
      </c>
      <c r="D344" s="18" t="s">
        <v>304</v>
      </c>
      <c r="E344" s="17" t="s">
        <v>1239</v>
      </c>
      <c r="F344" s="17"/>
      <c r="G344" s="17" t="s">
        <v>79</v>
      </c>
      <c r="H344" s="17" t="s">
        <v>620</v>
      </c>
      <c r="I344" s="17"/>
      <c r="J344" s="17" t="s">
        <v>1150</v>
      </c>
      <c r="K344" s="17" t="s">
        <v>404</v>
      </c>
      <c r="L344" s="19"/>
      <c r="M344" s="17" t="s">
        <v>211</v>
      </c>
      <c r="N344" s="19"/>
      <c r="O344" s="17">
        <v>1</v>
      </c>
      <c r="P344" s="17"/>
      <c r="Q344" s="28"/>
      <c r="R344" s="17" t="s">
        <v>474</v>
      </c>
      <c r="S344" s="17"/>
      <c r="T344" s="35" t="s">
        <v>1237</v>
      </c>
      <c r="U344" s="28">
        <v>45874</v>
      </c>
      <c r="V344" s="28"/>
    </row>
    <row r="345" spans="1:22" ht="30" customHeight="1" x14ac:dyDescent="0.25">
      <c r="A345" s="17">
        <f>SUBTOTAL(103,B$2:B345)*1</f>
        <v>344</v>
      </c>
      <c r="B345" s="17" t="s">
        <v>292</v>
      </c>
      <c r="C345" s="18" t="s">
        <v>1196</v>
      </c>
      <c r="D345" s="18" t="s">
        <v>31</v>
      </c>
      <c r="E345" s="17"/>
      <c r="F345" s="17"/>
      <c r="G345" s="17" t="s">
        <v>6</v>
      </c>
      <c r="H345" s="17" t="s">
        <v>618</v>
      </c>
      <c r="I345" s="17"/>
      <c r="J345" s="17" t="s">
        <v>1196</v>
      </c>
      <c r="K345" s="17" t="s">
        <v>404</v>
      </c>
      <c r="L345" s="19"/>
      <c r="M345" s="17" t="s">
        <v>211</v>
      </c>
      <c r="N345" s="19"/>
      <c r="O345" s="17">
        <v>1</v>
      </c>
      <c r="P345" s="17"/>
      <c r="Q345" s="28"/>
      <c r="R345" s="17" t="s">
        <v>532</v>
      </c>
      <c r="S345" s="17"/>
      <c r="T345" s="35" t="s">
        <v>1220</v>
      </c>
      <c r="U345" s="28">
        <v>45866</v>
      </c>
      <c r="V345" s="28"/>
    </row>
    <row r="346" spans="1:22" ht="30" customHeight="1" x14ac:dyDescent="0.25">
      <c r="A346" s="17">
        <f>SUBTOTAL(103,B$2:B346)*1</f>
        <v>345</v>
      </c>
      <c r="B346" s="17" t="s">
        <v>292</v>
      </c>
      <c r="C346" s="18" t="s">
        <v>1198</v>
      </c>
      <c r="D346" s="18" t="s">
        <v>1287</v>
      </c>
      <c r="E346" s="17"/>
      <c r="F346" s="17"/>
      <c r="G346" s="17" t="s">
        <v>625</v>
      </c>
      <c r="H346" s="17" t="s">
        <v>619</v>
      </c>
      <c r="I346" s="17"/>
      <c r="J346" s="17" t="s">
        <v>1198</v>
      </c>
      <c r="K346" s="17" t="s">
        <v>406</v>
      </c>
      <c r="L346" s="19"/>
      <c r="M346" s="17" t="s">
        <v>300</v>
      </c>
      <c r="N346" s="19"/>
      <c r="O346" s="17">
        <v>3</v>
      </c>
      <c r="P346" s="17"/>
      <c r="Q346" s="28"/>
      <c r="R346" s="17" t="s">
        <v>476</v>
      </c>
      <c r="S346" s="17"/>
      <c r="T346" s="35" t="s">
        <v>1286</v>
      </c>
      <c r="U346" s="28">
        <v>45887</v>
      </c>
      <c r="V346" s="28"/>
    </row>
    <row r="347" spans="1:22" ht="45" x14ac:dyDescent="0.25">
      <c r="A347" s="17">
        <f>SUBTOTAL(103,B$2:B347)*1</f>
        <v>346</v>
      </c>
      <c r="B347" s="62" t="s">
        <v>2535</v>
      </c>
      <c r="C347" s="18" t="s">
        <v>1251</v>
      </c>
      <c r="D347" s="18" t="s">
        <v>31</v>
      </c>
      <c r="E347" s="17"/>
      <c r="F347" s="17"/>
      <c r="G347" s="17" t="s">
        <v>141</v>
      </c>
      <c r="H347" s="17" t="s">
        <v>618</v>
      </c>
      <c r="I347" s="17"/>
      <c r="J347" s="17" t="s">
        <v>1252</v>
      </c>
      <c r="K347" s="17" t="s">
        <v>404</v>
      </c>
      <c r="L347" s="19">
        <v>9221800</v>
      </c>
      <c r="M347" s="17" t="s">
        <v>333</v>
      </c>
      <c r="N347" s="19"/>
      <c r="O347" s="17">
        <v>11</v>
      </c>
      <c r="P347" s="17"/>
      <c r="Q347" s="28"/>
      <c r="R347" s="17" t="s">
        <v>2628</v>
      </c>
      <c r="S347" s="17"/>
      <c r="T347" s="35" t="s">
        <v>2627</v>
      </c>
      <c r="U347" s="28">
        <v>46041</v>
      </c>
      <c r="V347" s="28"/>
    </row>
    <row r="348" spans="1:22" ht="30" customHeight="1" x14ac:dyDescent="0.25">
      <c r="A348" s="17">
        <f>SUBTOTAL(103,B$2:B348)*1</f>
        <v>347</v>
      </c>
      <c r="B348" s="17" t="s">
        <v>292</v>
      </c>
      <c r="C348" s="18" t="s">
        <v>1253</v>
      </c>
      <c r="D348" s="18" t="s">
        <v>90</v>
      </c>
      <c r="E348" s="17"/>
      <c r="F348" s="17"/>
      <c r="G348" s="17" t="s">
        <v>136</v>
      </c>
      <c r="H348" s="17" t="s">
        <v>620</v>
      </c>
      <c r="I348" s="17"/>
      <c r="J348" s="17" t="s">
        <v>1254</v>
      </c>
      <c r="K348" s="17" t="s">
        <v>404</v>
      </c>
      <c r="L348" s="19"/>
      <c r="M348" s="17" t="s">
        <v>211</v>
      </c>
      <c r="N348" s="19"/>
      <c r="O348" s="17">
        <v>1</v>
      </c>
      <c r="P348" s="17"/>
      <c r="Q348" s="28"/>
      <c r="R348" s="17" t="s">
        <v>474</v>
      </c>
      <c r="S348" s="17"/>
      <c r="T348" s="35" t="s">
        <v>1273</v>
      </c>
      <c r="U348" s="28">
        <v>45874</v>
      </c>
      <c r="V348" s="28"/>
    </row>
    <row r="349" spans="1:22" ht="30" customHeight="1" x14ac:dyDescent="0.25">
      <c r="A349" s="17">
        <f>SUBTOTAL(103,B$2:B349)*1</f>
        <v>348</v>
      </c>
      <c r="B349" s="17" t="s">
        <v>292</v>
      </c>
      <c r="C349" s="18" t="s">
        <v>1255</v>
      </c>
      <c r="D349" s="18" t="s">
        <v>90</v>
      </c>
      <c r="E349" s="17"/>
      <c r="F349" s="17"/>
      <c r="G349" s="17" t="s">
        <v>36</v>
      </c>
      <c r="H349" s="17" t="s">
        <v>620</v>
      </c>
      <c r="I349" s="17"/>
      <c r="J349" s="17" t="s">
        <v>1256</v>
      </c>
      <c r="K349" s="17" t="s">
        <v>404</v>
      </c>
      <c r="L349" s="19">
        <v>450000</v>
      </c>
      <c r="M349" s="17" t="s">
        <v>211</v>
      </c>
      <c r="N349" s="19"/>
      <c r="O349" s="17">
        <v>1</v>
      </c>
      <c r="P349" s="17"/>
      <c r="Q349" s="28"/>
      <c r="R349" s="17" t="s">
        <v>474</v>
      </c>
      <c r="S349" s="17"/>
      <c r="T349" s="35" t="s">
        <v>1274</v>
      </c>
      <c r="U349" s="28">
        <v>45874</v>
      </c>
      <c r="V349" s="28" t="s">
        <v>2178</v>
      </c>
    </row>
    <row r="350" spans="1:22" ht="30" customHeight="1" x14ac:dyDescent="0.25">
      <c r="A350" s="17">
        <f>SUBTOTAL(103,B$2:B350)*1</f>
        <v>349</v>
      </c>
      <c r="B350" s="17" t="s">
        <v>292</v>
      </c>
      <c r="C350" s="18" t="s">
        <v>1259</v>
      </c>
      <c r="D350" s="18" t="s">
        <v>298</v>
      </c>
      <c r="E350" s="17"/>
      <c r="F350" s="17"/>
      <c r="G350" s="17" t="s">
        <v>91</v>
      </c>
      <c r="H350" s="17" t="s">
        <v>618</v>
      </c>
      <c r="I350" s="17"/>
      <c r="J350" s="17" t="s">
        <v>1260</v>
      </c>
      <c r="K350" s="17" t="s">
        <v>404</v>
      </c>
      <c r="L350" s="19">
        <v>4300000</v>
      </c>
      <c r="M350" s="17" t="s">
        <v>211</v>
      </c>
      <c r="N350" s="19"/>
      <c r="O350" s="17">
        <v>1</v>
      </c>
      <c r="P350" s="17"/>
      <c r="Q350" s="28"/>
      <c r="R350" s="17" t="s">
        <v>529</v>
      </c>
      <c r="S350" s="17"/>
      <c r="T350" s="35" t="s">
        <v>1275</v>
      </c>
      <c r="U350" s="28">
        <v>45874</v>
      </c>
      <c r="V350" s="28"/>
    </row>
    <row r="351" spans="1:22" ht="30" customHeight="1" x14ac:dyDescent="0.25">
      <c r="A351" s="17">
        <f>SUBTOTAL(103,B$2:B351)*1</f>
        <v>350</v>
      </c>
      <c r="B351" s="17" t="s">
        <v>292</v>
      </c>
      <c r="C351" s="18" t="s">
        <v>1271</v>
      </c>
      <c r="D351" s="18" t="s">
        <v>1703</v>
      </c>
      <c r="E351" s="17"/>
      <c r="F351" s="17"/>
      <c r="G351" s="17" t="s">
        <v>25</v>
      </c>
      <c r="H351" s="17" t="s">
        <v>618</v>
      </c>
      <c r="I351" s="17"/>
      <c r="J351" s="17" t="s">
        <v>1272</v>
      </c>
      <c r="K351" s="17" t="s">
        <v>404</v>
      </c>
      <c r="L351" s="19"/>
      <c r="M351" s="17" t="s">
        <v>211</v>
      </c>
      <c r="N351" s="19"/>
      <c r="O351" s="17">
        <v>1</v>
      </c>
      <c r="P351" s="17"/>
      <c r="Q351" s="28"/>
      <c r="R351" s="17" t="s">
        <v>474</v>
      </c>
      <c r="S351" s="17"/>
      <c r="T351" s="35" t="s">
        <v>1298</v>
      </c>
      <c r="U351" s="28">
        <v>45880</v>
      </c>
      <c r="V351" s="28"/>
    </row>
    <row r="352" spans="1:22" ht="30" customHeight="1" x14ac:dyDescent="0.25">
      <c r="A352" s="17">
        <f>SUBTOTAL(103,B$2:B352)*1</f>
        <v>351</v>
      </c>
      <c r="B352" s="17" t="s">
        <v>292</v>
      </c>
      <c r="C352" s="18" t="s">
        <v>1310</v>
      </c>
      <c r="D352" s="18" t="s">
        <v>9</v>
      </c>
      <c r="E352" s="17"/>
      <c r="F352" s="17"/>
      <c r="G352" s="17" t="s">
        <v>1311</v>
      </c>
      <c r="H352" s="17" t="s">
        <v>618</v>
      </c>
      <c r="I352" s="17"/>
      <c r="J352" s="17" t="s">
        <v>1312</v>
      </c>
      <c r="K352" s="17" t="s">
        <v>404</v>
      </c>
      <c r="L352" s="19"/>
      <c r="M352" s="17" t="s">
        <v>333</v>
      </c>
      <c r="N352" s="19"/>
      <c r="O352" s="17">
        <v>4</v>
      </c>
      <c r="P352" s="17"/>
      <c r="Q352" s="28"/>
      <c r="R352" s="17" t="s">
        <v>474</v>
      </c>
      <c r="S352" s="17"/>
      <c r="T352" s="35" t="s">
        <v>1418</v>
      </c>
      <c r="U352" s="28">
        <v>45908</v>
      </c>
      <c r="V352" s="28"/>
    </row>
    <row r="353" spans="1:22" ht="30" customHeight="1" x14ac:dyDescent="0.25">
      <c r="A353" s="17">
        <f>SUBTOTAL(103,B$2:B353)*1</f>
        <v>352</v>
      </c>
      <c r="B353" s="17" t="s">
        <v>292</v>
      </c>
      <c r="C353" s="18" t="s">
        <v>1321</v>
      </c>
      <c r="D353" s="18" t="s">
        <v>90</v>
      </c>
      <c r="E353" s="17"/>
      <c r="F353" s="17"/>
      <c r="G353" s="17" t="s">
        <v>32</v>
      </c>
      <c r="H353" s="17" t="s">
        <v>619</v>
      </c>
      <c r="I353" s="17"/>
      <c r="J353" s="17" t="s">
        <v>1313</v>
      </c>
      <c r="K353" s="17" t="s">
        <v>404</v>
      </c>
      <c r="L353" s="19"/>
      <c r="M353" s="17" t="s">
        <v>333</v>
      </c>
      <c r="N353" s="19"/>
      <c r="O353" s="17">
        <v>4</v>
      </c>
      <c r="P353" s="17"/>
      <c r="Q353" s="28"/>
      <c r="R353" s="17" t="s">
        <v>474</v>
      </c>
      <c r="S353" s="17"/>
      <c r="T353" s="35" t="s">
        <v>1486</v>
      </c>
      <c r="U353" s="28">
        <v>45915</v>
      </c>
      <c r="V353" s="28" t="s">
        <v>1318</v>
      </c>
    </row>
    <row r="354" spans="1:22" ht="30" customHeight="1" x14ac:dyDescent="0.25">
      <c r="A354" s="17">
        <f>SUBTOTAL(103,B$2:B354)*1</f>
        <v>353</v>
      </c>
      <c r="B354" s="17" t="s">
        <v>292</v>
      </c>
      <c r="C354" s="18" t="s">
        <v>1314</v>
      </c>
      <c r="D354" s="18" t="s">
        <v>90</v>
      </c>
      <c r="E354" s="17"/>
      <c r="F354" s="17"/>
      <c r="G354" s="17" t="s">
        <v>1315</v>
      </c>
      <c r="H354" s="17" t="s">
        <v>620</v>
      </c>
      <c r="I354" s="17"/>
      <c r="J354" s="17" t="s">
        <v>1316</v>
      </c>
      <c r="K354" s="17" t="s">
        <v>404</v>
      </c>
      <c r="L354" s="19"/>
      <c r="M354" s="17" t="s">
        <v>312</v>
      </c>
      <c r="N354" s="19"/>
      <c r="O354" s="17">
        <v>5</v>
      </c>
      <c r="P354" s="17"/>
      <c r="Q354" s="28"/>
      <c r="R354" s="17" t="s">
        <v>474</v>
      </c>
      <c r="S354" s="17"/>
      <c r="T354" s="35" t="s">
        <v>1645</v>
      </c>
      <c r="U354" s="28">
        <v>45950</v>
      </c>
      <c r="V354" s="28" t="s">
        <v>1320</v>
      </c>
    </row>
    <row r="355" spans="1:22" ht="30" customHeight="1" x14ac:dyDescent="0.25">
      <c r="A355" s="17">
        <f>SUBTOTAL(103,B$2:B355)*1</f>
        <v>354</v>
      </c>
      <c r="B355" s="17" t="s">
        <v>292</v>
      </c>
      <c r="C355" s="18" t="s">
        <v>1324</v>
      </c>
      <c r="D355" s="18" t="s">
        <v>90</v>
      </c>
      <c r="E355" s="17"/>
      <c r="F355" s="17"/>
      <c r="G355" s="17" t="s">
        <v>48</v>
      </c>
      <c r="H355" s="17" t="s">
        <v>618</v>
      </c>
      <c r="I355" s="17"/>
      <c r="J355" s="17" t="s">
        <v>1323</v>
      </c>
      <c r="K355" s="17" t="s">
        <v>404</v>
      </c>
      <c r="L355" s="19"/>
      <c r="M355" s="17" t="s">
        <v>211</v>
      </c>
      <c r="N355" s="19"/>
      <c r="O355" s="17">
        <v>1</v>
      </c>
      <c r="P355" s="17"/>
      <c r="Q355" s="28"/>
      <c r="R355" s="17" t="s">
        <v>474</v>
      </c>
      <c r="S355" s="17"/>
      <c r="T355" s="35" t="s">
        <v>2031</v>
      </c>
      <c r="U355" s="28">
        <v>45999</v>
      </c>
      <c r="V355" s="28" t="s">
        <v>1325</v>
      </c>
    </row>
    <row r="356" spans="1:22" ht="30" customHeight="1" x14ac:dyDescent="0.25">
      <c r="A356" s="17">
        <f>SUBTOTAL(103,B$2:B356)*1</f>
        <v>355</v>
      </c>
      <c r="B356" s="17" t="s">
        <v>292</v>
      </c>
      <c r="C356" s="18" t="s">
        <v>1399</v>
      </c>
      <c r="D356" s="18" t="s">
        <v>540</v>
      </c>
      <c r="E356" s="17"/>
      <c r="F356" s="17"/>
      <c r="G356" s="17" t="s">
        <v>48</v>
      </c>
      <c r="H356" s="17" t="s">
        <v>618</v>
      </c>
      <c r="I356" s="17"/>
      <c r="J356" s="17" t="s">
        <v>1400</v>
      </c>
      <c r="K356" s="17" t="s">
        <v>405</v>
      </c>
      <c r="L356" s="19"/>
      <c r="M356" s="17" t="s">
        <v>300</v>
      </c>
      <c r="N356" s="19"/>
      <c r="O356" s="17">
        <v>2</v>
      </c>
      <c r="P356" s="17"/>
      <c r="Q356" s="28"/>
      <c r="R356" s="17" t="s">
        <v>529</v>
      </c>
      <c r="S356" s="17"/>
      <c r="T356" s="35" t="s">
        <v>1924</v>
      </c>
      <c r="U356" s="28">
        <v>45985</v>
      </c>
      <c r="V356" s="28"/>
    </row>
    <row r="357" spans="1:22" ht="30" customHeight="1" x14ac:dyDescent="0.25">
      <c r="A357" s="17">
        <f>SUBTOTAL(103,B$2:B357)*1</f>
        <v>356</v>
      </c>
      <c r="B357" s="17" t="s">
        <v>292</v>
      </c>
      <c r="C357" s="18" t="s">
        <v>2528</v>
      </c>
      <c r="D357" s="17" t="s">
        <v>1287</v>
      </c>
      <c r="E357" s="17"/>
      <c r="F357" s="17"/>
      <c r="G357" s="17" t="s">
        <v>48</v>
      </c>
      <c r="H357" s="17" t="s">
        <v>618</v>
      </c>
      <c r="I357" s="17"/>
      <c r="J357" s="17" t="s">
        <v>1400</v>
      </c>
      <c r="K357" s="17" t="s">
        <v>405</v>
      </c>
      <c r="L357" s="19"/>
      <c r="M357" s="17" t="s">
        <v>342</v>
      </c>
      <c r="N357" s="19"/>
      <c r="O357" s="17">
        <v>1</v>
      </c>
      <c r="P357" s="17"/>
      <c r="Q357" s="28"/>
      <c r="R357" s="17" t="s">
        <v>529</v>
      </c>
      <c r="S357" s="17"/>
      <c r="T357" s="20" t="s">
        <v>2528</v>
      </c>
      <c r="U357" s="28">
        <v>46020</v>
      </c>
      <c r="V357" s="17"/>
    </row>
    <row r="358" spans="1:22" ht="30" customHeight="1" x14ac:dyDescent="0.25">
      <c r="A358" s="17">
        <f>SUBTOTAL(103,B$2:B358)*1</f>
        <v>357</v>
      </c>
      <c r="B358" s="17" t="s">
        <v>292</v>
      </c>
      <c r="C358" s="18" t="s">
        <v>1403</v>
      </c>
      <c r="D358" s="18" t="s">
        <v>78</v>
      </c>
      <c r="E358" s="17"/>
      <c r="F358" s="17"/>
      <c r="G358" s="17" t="s">
        <v>580</v>
      </c>
      <c r="H358" s="17" t="s">
        <v>618</v>
      </c>
      <c r="I358" s="17"/>
      <c r="J358" s="17" t="s">
        <v>1404</v>
      </c>
      <c r="K358" s="17" t="s">
        <v>406</v>
      </c>
      <c r="L358" s="19"/>
      <c r="M358" s="17" t="s">
        <v>211</v>
      </c>
      <c r="N358" s="19"/>
      <c r="O358" s="17">
        <v>1</v>
      </c>
      <c r="P358" s="17"/>
      <c r="Q358" s="28"/>
      <c r="R358" s="17" t="s">
        <v>479</v>
      </c>
      <c r="S358" s="17"/>
      <c r="T358" s="35" t="s">
        <v>1427</v>
      </c>
      <c r="U358" s="28">
        <v>45901</v>
      </c>
      <c r="V358" s="28"/>
    </row>
    <row r="359" spans="1:22" ht="30" customHeight="1" x14ac:dyDescent="0.25">
      <c r="A359" s="17">
        <f>SUBTOTAL(103,B$2:B359)*1</f>
        <v>358</v>
      </c>
      <c r="B359" s="17" t="s">
        <v>292</v>
      </c>
      <c r="C359" s="18" t="s">
        <v>1405</v>
      </c>
      <c r="D359" s="18" t="s">
        <v>31</v>
      </c>
      <c r="E359" s="17"/>
      <c r="F359" s="17"/>
      <c r="G359" s="17" t="s">
        <v>580</v>
      </c>
      <c r="H359" s="17" t="s">
        <v>618</v>
      </c>
      <c r="I359" s="17"/>
      <c r="J359" s="17" t="s">
        <v>1405</v>
      </c>
      <c r="K359" s="17" t="s">
        <v>404</v>
      </c>
      <c r="L359" s="19"/>
      <c r="M359" s="17" t="s">
        <v>211</v>
      </c>
      <c r="N359" s="19"/>
      <c r="O359" s="17">
        <v>1</v>
      </c>
      <c r="P359" s="17"/>
      <c r="Q359" s="28"/>
      <c r="R359" s="17" t="s">
        <v>532</v>
      </c>
      <c r="S359" s="17"/>
      <c r="T359" s="35" t="s">
        <v>1428</v>
      </c>
      <c r="U359" s="28">
        <v>45901</v>
      </c>
      <c r="V359" s="28"/>
    </row>
    <row r="360" spans="1:22" ht="45" x14ac:dyDescent="0.25">
      <c r="A360" s="17">
        <f>SUBTOTAL(103,B$2:B360)*1</f>
        <v>359</v>
      </c>
      <c r="B360" s="17" t="s">
        <v>292</v>
      </c>
      <c r="C360" s="18" t="s">
        <v>1407</v>
      </c>
      <c r="D360" s="18" t="s">
        <v>30</v>
      </c>
      <c r="E360" s="17"/>
      <c r="F360" s="17"/>
      <c r="G360" s="17" t="s">
        <v>82</v>
      </c>
      <c r="H360" s="17" t="s">
        <v>619</v>
      </c>
      <c r="I360" s="17"/>
      <c r="J360" s="17" t="s">
        <v>1408</v>
      </c>
      <c r="K360" s="17" t="s">
        <v>404</v>
      </c>
      <c r="L360" s="19"/>
      <c r="M360" s="17" t="s">
        <v>300</v>
      </c>
      <c r="N360" s="19"/>
      <c r="O360" s="17">
        <v>5</v>
      </c>
      <c r="P360" s="17"/>
      <c r="Q360" s="28"/>
      <c r="R360" s="17" t="s">
        <v>475</v>
      </c>
      <c r="S360" s="17"/>
      <c r="T360" s="35" t="s">
        <v>1998</v>
      </c>
      <c r="U360" s="28">
        <v>45992</v>
      </c>
      <c r="V360" s="28"/>
    </row>
    <row r="361" spans="1:22" ht="45" x14ac:dyDescent="0.25">
      <c r="A361" s="17">
        <f>SUBTOTAL(103,B$2:B361)*1</f>
        <v>360</v>
      </c>
      <c r="B361" s="17" t="s">
        <v>292</v>
      </c>
      <c r="C361" s="18" t="s">
        <v>1425</v>
      </c>
      <c r="D361" s="18" t="s">
        <v>46</v>
      </c>
      <c r="E361" s="17"/>
      <c r="F361" s="17"/>
      <c r="G361" s="17" t="s">
        <v>25</v>
      </c>
      <c r="H361" s="17" t="s">
        <v>618</v>
      </c>
      <c r="I361" s="17"/>
      <c r="J361" s="17" t="s">
        <v>1426</v>
      </c>
      <c r="K361" s="17" t="s">
        <v>406</v>
      </c>
      <c r="L361" s="19"/>
      <c r="M361" s="17" t="s">
        <v>211</v>
      </c>
      <c r="N361" s="19"/>
      <c r="O361" s="17">
        <v>1</v>
      </c>
      <c r="P361" s="17"/>
      <c r="Q361" s="28"/>
      <c r="R361" s="17" t="s">
        <v>474</v>
      </c>
      <c r="S361" s="17"/>
      <c r="T361" s="35" t="s">
        <v>1468</v>
      </c>
      <c r="U361" s="28">
        <v>45908</v>
      </c>
      <c r="V361" s="28"/>
    </row>
    <row r="362" spans="1:22" ht="30" customHeight="1" x14ac:dyDescent="0.25">
      <c r="A362" s="17">
        <f>SUBTOTAL(103,B$2:B362)*1</f>
        <v>361</v>
      </c>
      <c r="B362" s="17" t="s">
        <v>292</v>
      </c>
      <c r="C362" s="18" t="s">
        <v>1430</v>
      </c>
      <c r="D362" s="18" t="s">
        <v>540</v>
      </c>
      <c r="E362" s="17"/>
      <c r="F362" s="17"/>
      <c r="G362" s="17" t="s">
        <v>328</v>
      </c>
      <c r="H362" s="17" t="s">
        <v>927</v>
      </c>
      <c r="I362" s="17"/>
      <c r="J362" s="17" t="s">
        <v>1429</v>
      </c>
      <c r="K362" s="17" t="s">
        <v>748</v>
      </c>
      <c r="L362" s="19"/>
      <c r="M362" s="17" t="s">
        <v>342</v>
      </c>
      <c r="N362" s="19"/>
      <c r="O362" s="17">
        <v>1</v>
      </c>
      <c r="P362" s="17"/>
      <c r="Q362" s="28"/>
      <c r="R362" s="17" t="s">
        <v>528</v>
      </c>
      <c r="S362" s="17"/>
      <c r="T362" s="35"/>
      <c r="U362" s="28">
        <v>45908</v>
      </c>
      <c r="V362" s="28"/>
    </row>
    <row r="363" spans="1:22" ht="30" customHeight="1" x14ac:dyDescent="0.25">
      <c r="A363" s="17">
        <f>SUBTOTAL(103,B$2:B363)*1</f>
        <v>362</v>
      </c>
      <c r="B363" s="17" t="s">
        <v>292</v>
      </c>
      <c r="C363" s="18" t="s">
        <v>1433</v>
      </c>
      <c r="D363" s="18" t="s">
        <v>1287</v>
      </c>
      <c r="E363" s="17"/>
      <c r="F363" s="17"/>
      <c r="G363" s="17" t="s">
        <v>6</v>
      </c>
      <c r="H363" s="17" t="s">
        <v>923</v>
      </c>
      <c r="I363" s="17"/>
      <c r="J363" s="17" t="s">
        <v>1432</v>
      </c>
      <c r="K363" s="17" t="s">
        <v>748</v>
      </c>
      <c r="L363" s="19"/>
      <c r="M363" s="17" t="s">
        <v>342</v>
      </c>
      <c r="N363" s="19"/>
      <c r="O363" s="17">
        <v>1</v>
      </c>
      <c r="P363" s="17"/>
      <c r="Q363" s="28"/>
      <c r="R363" s="17" t="s">
        <v>528</v>
      </c>
      <c r="S363" s="17"/>
      <c r="T363" s="35" t="s">
        <v>1469</v>
      </c>
      <c r="U363" s="28">
        <v>45908</v>
      </c>
      <c r="V363" s="28"/>
    </row>
    <row r="364" spans="1:22" ht="30" customHeight="1" x14ac:dyDescent="0.25">
      <c r="A364" s="17">
        <f>SUBTOTAL(103,B$2:B364)*1</f>
        <v>363</v>
      </c>
      <c r="B364" s="17" t="s">
        <v>292</v>
      </c>
      <c r="C364" s="18" t="s">
        <v>1438</v>
      </c>
      <c r="D364" s="18" t="s">
        <v>1023</v>
      </c>
      <c r="E364" s="17"/>
      <c r="F364" s="17"/>
      <c r="G364" s="17" t="s">
        <v>94</v>
      </c>
      <c r="H364" s="17" t="s">
        <v>620</v>
      </c>
      <c r="I364" s="17"/>
      <c r="J364" s="17" t="s">
        <v>1511</v>
      </c>
      <c r="K364" s="17" t="s">
        <v>1437</v>
      </c>
      <c r="L364" s="19"/>
      <c r="M364" s="17" t="s">
        <v>342</v>
      </c>
      <c r="N364" s="19"/>
      <c r="O364" s="17">
        <v>2</v>
      </c>
      <c r="P364" s="17"/>
      <c r="Q364" s="28"/>
      <c r="R364" s="17" t="s">
        <v>1514</v>
      </c>
      <c r="S364" s="17"/>
      <c r="T364" s="35" t="s">
        <v>1513</v>
      </c>
      <c r="U364" s="28">
        <v>45922</v>
      </c>
      <c r="V364" s="28"/>
    </row>
    <row r="365" spans="1:22" ht="30" customHeight="1" x14ac:dyDescent="0.25">
      <c r="A365" s="17">
        <f>SUBTOTAL(103,B$2:B365)*1</f>
        <v>364</v>
      </c>
      <c r="B365" s="17" t="s">
        <v>292</v>
      </c>
      <c r="C365" s="18" t="s">
        <v>1441</v>
      </c>
      <c r="D365" s="18" t="s">
        <v>298</v>
      </c>
      <c r="E365" s="17"/>
      <c r="F365" s="17"/>
      <c r="G365" s="17" t="s">
        <v>349</v>
      </c>
      <c r="H365" s="17" t="s">
        <v>923</v>
      </c>
      <c r="I365" s="17"/>
      <c r="J365" s="17" t="s">
        <v>1440</v>
      </c>
      <c r="K365" s="17" t="s">
        <v>748</v>
      </c>
      <c r="L365" s="19"/>
      <c r="M365" s="17" t="s">
        <v>342</v>
      </c>
      <c r="N365" s="19"/>
      <c r="O365" s="17">
        <v>2</v>
      </c>
      <c r="P365" s="17"/>
      <c r="Q365" s="28"/>
      <c r="R365" s="17" t="s">
        <v>536</v>
      </c>
      <c r="S365" s="17"/>
      <c r="T365" s="35" t="s">
        <v>1474</v>
      </c>
      <c r="U365" s="28">
        <v>45915</v>
      </c>
      <c r="V365" s="28"/>
    </row>
    <row r="366" spans="1:22" ht="30" customHeight="1" x14ac:dyDescent="0.25">
      <c r="A366" s="17">
        <f>SUBTOTAL(103,B$2:B366)*1</f>
        <v>365</v>
      </c>
      <c r="B366" s="17" t="s">
        <v>292</v>
      </c>
      <c r="C366" s="18" t="s">
        <v>1446</v>
      </c>
      <c r="D366" s="18" t="s">
        <v>325</v>
      </c>
      <c r="E366" s="17"/>
      <c r="F366" s="17"/>
      <c r="G366" s="17" t="s">
        <v>25</v>
      </c>
      <c r="H366" s="17" t="s">
        <v>618</v>
      </c>
      <c r="I366" s="17"/>
      <c r="J366" s="17" t="s">
        <v>1446</v>
      </c>
      <c r="K366" s="17" t="s">
        <v>748</v>
      </c>
      <c r="L366" s="19"/>
      <c r="M366" s="17" t="s">
        <v>342</v>
      </c>
      <c r="N366" s="19"/>
      <c r="O366" s="17">
        <v>1</v>
      </c>
      <c r="P366" s="17"/>
      <c r="Q366" s="28"/>
      <c r="R366" s="17" t="s">
        <v>474</v>
      </c>
      <c r="S366" s="17"/>
      <c r="T366" s="35"/>
      <c r="U366" s="28">
        <v>45908</v>
      </c>
      <c r="V366" s="28" t="s">
        <v>1452</v>
      </c>
    </row>
    <row r="367" spans="1:22" ht="30" customHeight="1" x14ac:dyDescent="0.25">
      <c r="A367" s="17">
        <f>SUBTOTAL(103,B$2:B367)*1</f>
        <v>366</v>
      </c>
      <c r="B367" s="17" t="s">
        <v>292</v>
      </c>
      <c r="C367" s="18" t="s">
        <v>1450</v>
      </c>
      <c r="D367" s="18" t="s">
        <v>325</v>
      </c>
      <c r="E367" s="17"/>
      <c r="F367" s="17"/>
      <c r="G367" s="17" t="s">
        <v>102</v>
      </c>
      <c r="H367" s="17" t="s">
        <v>618</v>
      </c>
      <c r="I367" s="17"/>
      <c r="J367" s="17" t="s">
        <v>1450</v>
      </c>
      <c r="K367" s="17" t="s">
        <v>748</v>
      </c>
      <c r="L367" s="19"/>
      <c r="M367" s="17" t="s">
        <v>342</v>
      </c>
      <c r="N367" s="19"/>
      <c r="O367" s="17">
        <v>1</v>
      </c>
      <c r="P367" s="17"/>
      <c r="Q367" s="28"/>
      <c r="R367" s="17" t="s">
        <v>474</v>
      </c>
      <c r="S367" s="17"/>
      <c r="T367" s="35"/>
      <c r="U367" s="28">
        <v>45908</v>
      </c>
      <c r="V367" s="28"/>
    </row>
    <row r="368" spans="1:22" ht="30" customHeight="1" x14ac:dyDescent="0.25">
      <c r="A368" s="17">
        <f>SUBTOTAL(103,B$2:B368)*1</f>
        <v>367</v>
      </c>
      <c r="B368" s="17" t="s">
        <v>292</v>
      </c>
      <c r="C368" s="18" t="s">
        <v>1447</v>
      </c>
      <c r="D368" s="18" t="s">
        <v>325</v>
      </c>
      <c r="E368" s="17"/>
      <c r="F368" s="17"/>
      <c r="G368" s="17" t="s">
        <v>328</v>
      </c>
      <c r="H368" s="17" t="s">
        <v>927</v>
      </c>
      <c r="I368" s="17"/>
      <c r="J368" s="17" t="s">
        <v>1447</v>
      </c>
      <c r="K368" s="17" t="s">
        <v>405</v>
      </c>
      <c r="L368" s="19"/>
      <c r="M368" s="17" t="s">
        <v>342</v>
      </c>
      <c r="N368" s="19"/>
      <c r="O368" s="17">
        <v>1</v>
      </c>
      <c r="P368" s="17"/>
      <c r="Q368" s="28"/>
      <c r="R368" s="17" t="s">
        <v>474</v>
      </c>
      <c r="S368" s="17"/>
      <c r="T368" s="35"/>
      <c r="U368" s="28">
        <v>45908</v>
      </c>
      <c r="V368" s="28"/>
    </row>
    <row r="369" spans="1:22" ht="30" customHeight="1" x14ac:dyDescent="0.25">
      <c r="A369" s="17">
        <f>SUBTOTAL(103,B$2:B369)*1</f>
        <v>368</v>
      </c>
      <c r="B369" s="17" t="s">
        <v>292</v>
      </c>
      <c r="C369" s="18" t="s">
        <v>1467</v>
      </c>
      <c r="D369" s="18" t="s">
        <v>31</v>
      </c>
      <c r="E369" s="17"/>
      <c r="F369" s="17"/>
      <c r="G369" s="17" t="s">
        <v>79</v>
      </c>
      <c r="H369" s="17" t="s">
        <v>620</v>
      </c>
      <c r="I369" s="17"/>
      <c r="J369" s="17" t="s">
        <v>1467</v>
      </c>
      <c r="K369" s="17" t="s">
        <v>1466</v>
      </c>
      <c r="L369" s="19"/>
      <c r="M369" s="17" t="s">
        <v>211</v>
      </c>
      <c r="N369" s="19"/>
      <c r="O369" s="17">
        <v>1</v>
      </c>
      <c r="P369" s="17"/>
      <c r="Q369" s="28"/>
      <c r="R369" s="17" t="s">
        <v>532</v>
      </c>
      <c r="S369" s="17"/>
      <c r="T369" s="35" t="s">
        <v>1499</v>
      </c>
      <c r="U369" s="28">
        <v>45915</v>
      </c>
      <c r="V369" s="28"/>
    </row>
    <row r="370" spans="1:22" ht="30" customHeight="1" x14ac:dyDescent="0.25">
      <c r="A370" s="17">
        <f>SUBTOTAL(103,B$2:B370)*1</f>
        <v>369</v>
      </c>
      <c r="B370" s="17" t="s">
        <v>292</v>
      </c>
      <c r="C370" s="18" t="s">
        <v>1476</v>
      </c>
      <c r="D370" s="18" t="s">
        <v>540</v>
      </c>
      <c r="E370" s="17"/>
      <c r="F370" s="17"/>
      <c r="G370" s="17" t="s">
        <v>48</v>
      </c>
      <c r="H370" s="17" t="s">
        <v>618</v>
      </c>
      <c r="I370" s="17"/>
      <c r="J370" s="17" t="s">
        <v>1476</v>
      </c>
      <c r="K370" s="17" t="s">
        <v>404</v>
      </c>
      <c r="L370" s="19"/>
      <c r="M370" s="17" t="s">
        <v>211</v>
      </c>
      <c r="N370" s="19"/>
      <c r="O370" s="17">
        <v>1</v>
      </c>
      <c r="P370" s="17"/>
      <c r="Q370" s="28"/>
      <c r="R370" s="17" t="s">
        <v>479</v>
      </c>
      <c r="S370" s="17"/>
      <c r="T370" s="35" t="s">
        <v>1500</v>
      </c>
      <c r="U370" s="28">
        <v>45915</v>
      </c>
      <c r="V370" s="28"/>
    </row>
    <row r="371" spans="1:22" ht="60" x14ac:dyDescent="0.25">
      <c r="A371" s="17">
        <f>SUBTOTAL(103,B$2:B371)*1</f>
        <v>370</v>
      </c>
      <c r="B371" s="62" t="s">
        <v>2535</v>
      </c>
      <c r="C371" s="18" t="s">
        <v>1489</v>
      </c>
      <c r="D371" s="18" t="s">
        <v>540</v>
      </c>
      <c r="E371" s="17"/>
      <c r="F371" s="17"/>
      <c r="G371" s="17" t="s">
        <v>36</v>
      </c>
      <c r="H371" s="17" t="s">
        <v>620</v>
      </c>
      <c r="I371" s="17"/>
      <c r="J371" s="17" t="s">
        <v>1527</v>
      </c>
      <c r="K371" s="17" t="s">
        <v>404</v>
      </c>
      <c r="L371" s="19"/>
      <c r="M371" s="17" t="s">
        <v>333</v>
      </c>
      <c r="N371" s="19"/>
      <c r="O371" s="17">
        <v>4</v>
      </c>
      <c r="P371" s="17"/>
      <c r="Q371" s="28"/>
      <c r="R371" s="17" t="s">
        <v>479</v>
      </c>
      <c r="S371" s="17"/>
      <c r="T371" s="35" t="s">
        <v>2663</v>
      </c>
      <c r="U371" s="28">
        <v>46048</v>
      </c>
      <c r="V371" s="28"/>
    </row>
    <row r="372" spans="1:22" ht="30" customHeight="1" x14ac:dyDescent="0.25">
      <c r="A372" s="17">
        <f>SUBTOTAL(103,B$2:B372)*1</f>
        <v>371</v>
      </c>
      <c r="B372" s="17" t="s">
        <v>292</v>
      </c>
      <c r="C372" s="18" t="s">
        <v>1497</v>
      </c>
      <c r="D372" s="18" t="s">
        <v>31</v>
      </c>
      <c r="E372" s="17" t="s">
        <v>57</v>
      </c>
      <c r="F372" s="17"/>
      <c r="G372" s="17" t="s">
        <v>84</v>
      </c>
      <c r="H372" s="17" t="s">
        <v>618</v>
      </c>
      <c r="I372" s="17"/>
      <c r="J372" s="17" t="s">
        <v>1502</v>
      </c>
      <c r="K372" s="17" t="s">
        <v>404</v>
      </c>
      <c r="L372" s="19"/>
      <c r="M372" s="17" t="s">
        <v>211</v>
      </c>
      <c r="N372" s="19"/>
      <c r="O372" s="17">
        <v>1</v>
      </c>
      <c r="P372" s="17"/>
      <c r="Q372" s="28"/>
      <c r="R372" s="17" t="s">
        <v>529</v>
      </c>
      <c r="S372" s="17"/>
      <c r="T372" s="35"/>
      <c r="U372" s="28">
        <v>45922</v>
      </c>
      <c r="V372" s="28"/>
    </row>
    <row r="373" spans="1:22" ht="30" customHeight="1" x14ac:dyDescent="0.25">
      <c r="A373" s="17">
        <f>SUBTOTAL(103,B$2:B373)*1</f>
        <v>372</v>
      </c>
      <c r="B373" s="17" t="s">
        <v>292</v>
      </c>
      <c r="C373" s="18" t="s">
        <v>1504</v>
      </c>
      <c r="D373" s="18" t="s">
        <v>304</v>
      </c>
      <c r="E373" s="17" t="s">
        <v>21</v>
      </c>
      <c r="F373" s="17"/>
      <c r="G373" s="17" t="s">
        <v>82</v>
      </c>
      <c r="H373" s="17" t="s">
        <v>619</v>
      </c>
      <c r="I373" s="17"/>
      <c r="J373" s="17" t="s">
        <v>1505</v>
      </c>
      <c r="K373" s="17" t="s">
        <v>404</v>
      </c>
      <c r="L373" s="19">
        <v>436000</v>
      </c>
      <c r="M373" s="17" t="s">
        <v>211</v>
      </c>
      <c r="N373" s="19"/>
      <c r="O373" s="17">
        <v>1</v>
      </c>
      <c r="P373" s="17"/>
      <c r="Q373" s="28">
        <v>45922</v>
      </c>
      <c r="R373" s="17" t="s">
        <v>767</v>
      </c>
      <c r="S373" s="17"/>
      <c r="T373" s="35"/>
      <c r="U373" s="28">
        <v>45922</v>
      </c>
      <c r="V373" s="28"/>
    </row>
    <row r="374" spans="1:22" ht="30" customHeight="1" x14ac:dyDescent="0.25">
      <c r="A374" s="17">
        <f>SUBTOTAL(103,B$2:B374)*1</f>
        <v>373</v>
      </c>
      <c r="B374" s="62" t="s">
        <v>2535</v>
      </c>
      <c r="C374" s="18" t="s">
        <v>1586</v>
      </c>
      <c r="D374" s="18" t="s">
        <v>540</v>
      </c>
      <c r="E374" s="17"/>
      <c r="F374" s="17"/>
      <c r="G374" s="17" t="s">
        <v>82</v>
      </c>
      <c r="H374" s="17" t="s">
        <v>619</v>
      </c>
      <c r="I374" s="17"/>
      <c r="J374" s="17" t="s">
        <v>1505</v>
      </c>
      <c r="K374" s="17" t="s">
        <v>404</v>
      </c>
      <c r="L374" s="19"/>
      <c r="M374" s="17" t="s">
        <v>300</v>
      </c>
      <c r="N374" s="19"/>
      <c r="O374" s="17">
        <v>2</v>
      </c>
      <c r="P374" s="17"/>
      <c r="Q374" s="28"/>
      <c r="R374" s="17" t="s">
        <v>2632</v>
      </c>
      <c r="S374" s="17"/>
      <c r="T374" s="35" t="s">
        <v>2665</v>
      </c>
      <c r="U374" s="28">
        <v>46048</v>
      </c>
      <c r="V374" s="17"/>
    </row>
    <row r="375" spans="1:22" ht="46" customHeight="1" x14ac:dyDescent="0.25">
      <c r="A375" s="17">
        <f>SUBTOTAL(103,B$2:B375)*1</f>
        <v>374</v>
      </c>
      <c r="B375" s="17" t="s">
        <v>292</v>
      </c>
      <c r="C375" s="18" t="s">
        <v>1524</v>
      </c>
      <c r="D375" s="18" t="s">
        <v>540</v>
      </c>
      <c r="E375" s="17"/>
      <c r="F375" s="17"/>
      <c r="G375" s="17" t="s">
        <v>32</v>
      </c>
      <c r="H375" s="17" t="s">
        <v>619</v>
      </c>
      <c r="I375" s="17"/>
      <c r="J375" s="17" t="s">
        <v>1520</v>
      </c>
      <c r="K375" s="17" t="s">
        <v>405</v>
      </c>
      <c r="L375" s="19"/>
      <c r="M375" s="17" t="s">
        <v>211</v>
      </c>
      <c r="N375" s="19"/>
      <c r="O375" s="17">
        <v>1</v>
      </c>
      <c r="P375" s="17"/>
      <c r="Q375" s="28"/>
      <c r="R375" s="17" t="s">
        <v>476</v>
      </c>
      <c r="S375" s="17"/>
      <c r="T375" s="35" t="s">
        <v>1554</v>
      </c>
      <c r="U375" s="28">
        <v>45922</v>
      </c>
      <c r="V375" s="28"/>
    </row>
    <row r="376" spans="1:22" ht="30" customHeight="1" x14ac:dyDescent="0.25">
      <c r="A376" s="17">
        <f>SUBTOTAL(103,B$2:B376)*1</f>
        <v>375</v>
      </c>
      <c r="B376" s="17" t="s">
        <v>292</v>
      </c>
      <c r="C376" s="18" t="s">
        <v>1525</v>
      </c>
      <c r="D376" s="18" t="s">
        <v>298</v>
      </c>
      <c r="E376" s="17"/>
      <c r="F376" s="17"/>
      <c r="G376" s="17" t="s">
        <v>1523</v>
      </c>
      <c r="H376" s="17" t="s">
        <v>618</v>
      </c>
      <c r="I376" s="17"/>
      <c r="J376" s="17" t="s">
        <v>1522</v>
      </c>
      <c r="K376" s="17" t="s">
        <v>404</v>
      </c>
      <c r="L376" s="19"/>
      <c r="M376" s="17" t="s">
        <v>211</v>
      </c>
      <c r="N376" s="19"/>
      <c r="O376" s="17">
        <v>1</v>
      </c>
      <c r="P376" s="17"/>
      <c r="Q376" s="28"/>
      <c r="R376" s="17" t="s">
        <v>476</v>
      </c>
      <c r="S376" s="17"/>
      <c r="T376" s="35"/>
      <c r="U376" s="28">
        <v>45922</v>
      </c>
      <c r="V376" s="28"/>
    </row>
    <row r="377" spans="1:22" ht="30" customHeight="1" x14ac:dyDescent="0.25">
      <c r="A377" s="17">
        <f>SUBTOTAL(103,B$2:B377)*1</f>
        <v>376</v>
      </c>
      <c r="B377" s="17" t="s">
        <v>292</v>
      </c>
      <c r="C377" s="18" t="s">
        <v>1530</v>
      </c>
      <c r="D377" s="18" t="s">
        <v>540</v>
      </c>
      <c r="E377" s="17"/>
      <c r="F377" s="17"/>
      <c r="G377" s="17" t="s">
        <v>36</v>
      </c>
      <c r="H377" s="17" t="s">
        <v>620</v>
      </c>
      <c r="I377" s="17"/>
      <c r="J377" s="17" t="s">
        <v>1529</v>
      </c>
      <c r="K377" s="17" t="s">
        <v>404</v>
      </c>
      <c r="L377" s="19"/>
      <c r="M377" s="17" t="s">
        <v>211</v>
      </c>
      <c r="N377" s="19"/>
      <c r="O377" s="17">
        <v>1</v>
      </c>
      <c r="P377" s="17"/>
      <c r="Q377" s="28"/>
      <c r="R377" s="17" t="s">
        <v>479</v>
      </c>
      <c r="S377" s="17"/>
      <c r="T377" s="35" t="s">
        <v>1555</v>
      </c>
      <c r="U377" s="28">
        <v>45922</v>
      </c>
      <c r="V377" s="28"/>
    </row>
    <row r="378" spans="1:22" ht="30" customHeight="1" x14ac:dyDescent="0.25">
      <c r="A378" s="17">
        <f>SUBTOTAL(103,B$2:B378)*1</f>
        <v>377</v>
      </c>
      <c r="B378" s="17" t="s">
        <v>292</v>
      </c>
      <c r="C378" s="18" t="s">
        <v>1535</v>
      </c>
      <c r="D378" s="18" t="s">
        <v>304</v>
      </c>
      <c r="E378" s="17" t="s">
        <v>1536</v>
      </c>
      <c r="F378" s="17"/>
      <c r="G378" s="17" t="s">
        <v>190</v>
      </c>
      <c r="H378" s="17" t="s">
        <v>618</v>
      </c>
      <c r="I378" s="17"/>
      <c r="J378" s="17" t="s">
        <v>1533</v>
      </c>
      <c r="K378" s="17" t="s">
        <v>404</v>
      </c>
      <c r="L378" s="19"/>
      <c r="M378" s="17" t="s">
        <v>300</v>
      </c>
      <c r="N378" s="19"/>
      <c r="O378" s="17">
        <v>3</v>
      </c>
      <c r="P378" s="17"/>
      <c r="Q378" s="28"/>
      <c r="R378" s="17" t="s">
        <v>474</v>
      </c>
      <c r="S378" s="17"/>
      <c r="T378" s="35" t="s">
        <v>1764</v>
      </c>
      <c r="U378" s="28">
        <v>45971</v>
      </c>
      <c r="V378" s="28"/>
    </row>
    <row r="379" spans="1:22" ht="30" customHeight="1" x14ac:dyDescent="0.25">
      <c r="A379" s="17">
        <f>SUBTOTAL(103,B$2:B379)*1</f>
        <v>378</v>
      </c>
      <c r="B379" s="17" t="s">
        <v>292</v>
      </c>
      <c r="C379" s="18" t="s">
        <v>1546</v>
      </c>
      <c r="D379" s="18" t="s">
        <v>325</v>
      </c>
      <c r="E379" s="17"/>
      <c r="F379" s="17"/>
      <c r="G379" s="17" t="s">
        <v>32</v>
      </c>
      <c r="H379" s="17" t="s">
        <v>619</v>
      </c>
      <c r="I379" s="17"/>
      <c r="J379" s="17" t="s">
        <v>1547</v>
      </c>
      <c r="K379" s="17" t="s">
        <v>412</v>
      </c>
      <c r="L379" s="19"/>
      <c r="M379" s="17" t="s">
        <v>211</v>
      </c>
      <c r="N379" s="19"/>
      <c r="O379" s="17">
        <v>1</v>
      </c>
      <c r="P379" s="17"/>
      <c r="Q379" s="28"/>
      <c r="R379" s="17" t="s">
        <v>474</v>
      </c>
      <c r="S379" s="17"/>
      <c r="T379" s="35" t="s">
        <v>1556</v>
      </c>
      <c r="U379" s="28">
        <v>45922</v>
      </c>
      <c r="V379" s="28"/>
    </row>
    <row r="380" spans="1:22" ht="30" customHeight="1" x14ac:dyDescent="0.25">
      <c r="A380" s="17">
        <f>SUBTOTAL(103,B$2:B380)*1</f>
        <v>379</v>
      </c>
      <c r="B380" s="17" t="s">
        <v>292</v>
      </c>
      <c r="C380" s="18" t="s">
        <v>1583</v>
      </c>
      <c r="D380" s="18" t="s">
        <v>1563</v>
      </c>
      <c r="E380" s="17"/>
      <c r="F380" s="17"/>
      <c r="G380" s="17" t="s">
        <v>36</v>
      </c>
      <c r="H380" s="17" t="s">
        <v>620</v>
      </c>
      <c r="I380" s="17"/>
      <c r="J380" s="17" t="s">
        <v>1584</v>
      </c>
      <c r="K380" s="17" t="s">
        <v>406</v>
      </c>
      <c r="L380" s="19"/>
      <c r="M380" s="17" t="s">
        <v>211</v>
      </c>
      <c r="N380" s="19"/>
      <c r="O380" s="17">
        <v>1</v>
      </c>
      <c r="P380" s="17"/>
      <c r="Q380" s="28"/>
      <c r="R380" s="17" t="s">
        <v>529</v>
      </c>
      <c r="S380" s="17"/>
      <c r="T380" s="35"/>
      <c r="U380" s="28">
        <v>45929</v>
      </c>
      <c r="V380" s="17"/>
    </row>
    <row r="381" spans="1:22" ht="30" customHeight="1" x14ac:dyDescent="0.25">
      <c r="A381" s="17">
        <f>SUBTOTAL(103,B$2:B381)*1</f>
        <v>380</v>
      </c>
      <c r="B381" s="62" t="s">
        <v>2535</v>
      </c>
      <c r="C381" s="18" t="s">
        <v>1648</v>
      </c>
      <c r="D381" s="18" t="s">
        <v>540</v>
      </c>
      <c r="E381" s="17"/>
      <c r="F381" s="17"/>
      <c r="G381" s="17" t="s">
        <v>44</v>
      </c>
      <c r="H381" s="17" t="s">
        <v>618</v>
      </c>
      <c r="I381" s="17"/>
      <c r="J381" s="17" t="s">
        <v>1585</v>
      </c>
      <c r="K381" s="17" t="s">
        <v>405</v>
      </c>
      <c r="L381" s="19"/>
      <c r="M381" s="17" t="s">
        <v>333</v>
      </c>
      <c r="N381" s="19"/>
      <c r="O381" s="17">
        <v>5</v>
      </c>
      <c r="P381" s="17"/>
      <c r="Q381" s="28"/>
      <c r="R381" s="17" t="s">
        <v>2821</v>
      </c>
      <c r="S381" s="17"/>
      <c r="T381" s="35" t="s">
        <v>2820</v>
      </c>
      <c r="U381" s="28">
        <v>46097</v>
      </c>
      <c r="V381" s="17"/>
    </row>
    <row r="382" spans="1:22" ht="30" customHeight="1" x14ac:dyDescent="0.25">
      <c r="A382" s="17">
        <f>SUBTOTAL(103,B$2:B382)*1</f>
        <v>381</v>
      </c>
      <c r="B382" s="17" t="s">
        <v>292</v>
      </c>
      <c r="C382" s="18" t="s">
        <v>1587</v>
      </c>
      <c r="D382" s="18" t="s">
        <v>304</v>
      </c>
      <c r="E382" s="17"/>
      <c r="F382" s="17"/>
      <c r="G382" s="17" t="s">
        <v>36</v>
      </c>
      <c r="H382" s="17" t="s">
        <v>620</v>
      </c>
      <c r="I382" s="17"/>
      <c r="J382" s="17" t="s">
        <v>1588</v>
      </c>
      <c r="K382" s="17" t="s">
        <v>404</v>
      </c>
      <c r="L382" s="19"/>
      <c r="M382" s="17" t="s">
        <v>211</v>
      </c>
      <c r="N382" s="19"/>
      <c r="O382" s="17">
        <v>1</v>
      </c>
      <c r="P382" s="17"/>
      <c r="Q382" s="28"/>
      <c r="R382" s="17" t="s">
        <v>474</v>
      </c>
      <c r="S382" s="17"/>
      <c r="T382" s="35" t="s">
        <v>1602</v>
      </c>
      <c r="U382" s="28">
        <v>45929</v>
      </c>
      <c r="V382" s="17"/>
    </row>
    <row r="383" spans="1:22" ht="30" customHeight="1" x14ac:dyDescent="0.25">
      <c r="A383" s="17">
        <f>SUBTOTAL(103,B$2:B383)*1</f>
        <v>382</v>
      </c>
      <c r="B383" s="17" t="s">
        <v>292</v>
      </c>
      <c r="C383" s="18" t="s">
        <v>1589</v>
      </c>
      <c r="D383" s="18" t="s">
        <v>325</v>
      </c>
      <c r="E383" s="17"/>
      <c r="F383" s="17"/>
      <c r="G383" s="17" t="s">
        <v>203</v>
      </c>
      <c r="H383" s="17" t="s">
        <v>618</v>
      </c>
      <c r="I383" s="17"/>
      <c r="J383" s="17" t="s">
        <v>1590</v>
      </c>
      <c r="K383" s="17" t="s">
        <v>404</v>
      </c>
      <c r="L383" s="19"/>
      <c r="M383" s="17" t="s">
        <v>211</v>
      </c>
      <c r="N383" s="19"/>
      <c r="O383" s="17">
        <v>1</v>
      </c>
      <c r="P383" s="17"/>
      <c r="Q383" s="28"/>
      <c r="R383" s="17" t="s">
        <v>474</v>
      </c>
      <c r="S383" s="17"/>
      <c r="T383" s="35" t="s">
        <v>1603</v>
      </c>
      <c r="U383" s="28">
        <v>45929</v>
      </c>
      <c r="V383" s="17"/>
    </row>
    <row r="384" spans="1:22" ht="30" customHeight="1" x14ac:dyDescent="0.25">
      <c r="A384" s="17">
        <f>SUBTOTAL(103,B$2:B384)*1</f>
        <v>383</v>
      </c>
      <c r="B384" s="17" t="s">
        <v>292</v>
      </c>
      <c r="C384" s="18" t="s">
        <v>1591</v>
      </c>
      <c r="D384" s="18" t="s">
        <v>325</v>
      </c>
      <c r="E384" s="17"/>
      <c r="F384" s="17"/>
      <c r="G384" s="17" t="s">
        <v>6</v>
      </c>
      <c r="H384" s="17" t="s">
        <v>618</v>
      </c>
      <c r="I384" s="17"/>
      <c r="J384" s="17" t="s">
        <v>1592</v>
      </c>
      <c r="K384" s="17" t="s">
        <v>408</v>
      </c>
      <c r="L384" s="19"/>
      <c r="M384" s="17" t="s">
        <v>211</v>
      </c>
      <c r="N384" s="19"/>
      <c r="O384" s="17">
        <v>1</v>
      </c>
      <c r="P384" s="17"/>
      <c r="Q384" s="28"/>
      <c r="R384" s="17" t="s">
        <v>474</v>
      </c>
      <c r="S384" s="17"/>
      <c r="T384" s="35" t="s">
        <v>1604</v>
      </c>
      <c r="U384" s="28">
        <v>45929</v>
      </c>
      <c r="V384" s="17"/>
    </row>
    <row r="385" spans="1:22" ht="30" customHeight="1" x14ac:dyDescent="0.25">
      <c r="A385" s="17">
        <f>SUBTOTAL(103,B$2:B385)*1</f>
        <v>384</v>
      </c>
      <c r="B385" s="17" t="s">
        <v>292</v>
      </c>
      <c r="C385" s="18" t="s">
        <v>1593</v>
      </c>
      <c r="D385" s="18" t="s">
        <v>304</v>
      </c>
      <c r="E385" s="17" t="s">
        <v>21</v>
      </c>
      <c r="F385" s="17"/>
      <c r="G385" s="17" t="s">
        <v>141</v>
      </c>
      <c r="H385" s="17" t="s">
        <v>618</v>
      </c>
      <c r="I385" s="17"/>
      <c r="J385" s="17" t="s">
        <v>1594</v>
      </c>
      <c r="K385" s="17" t="s">
        <v>404</v>
      </c>
      <c r="L385" s="19"/>
      <c r="M385" s="17" t="s">
        <v>300</v>
      </c>
      <c r="N385" s="19"/>
      <c r="O385" s="17">
        <v>2</v>
      </c>
      <c r="P385" s="17"/>
      <c r="Q385" s="28"/>
      <c r="R385" s="17" t="s">
        <v>474</v>
      </c>
      <c r="S385" s="17"/>
      <c r="T385" s="35" t="s">
        <v>1643</v>
      </c>
      <c r="U385" s="28">
        <v>45950</v>
      </c>
      <c r="V385" s="17"/>
    </row>
    <row r="386" spans="1:22" ht="30" customHeight="1" x14ac:dyDescent="0.25">
      <c r="A386" s="17">
        <f>SUBTOTAL(103,B$2:B386)*1</f>
        <v>385</v>
      </c>
      <c r="B386" s="17" t="s">
        <v>292</v>
      </c>
      <c r="C386" s="18" t="s">
        <v>1627</v>
      </c>
      <c r="D386" s="18" t="s">
        <v>325</v>
      </c>
      <c r="E386" s="17"/>
      <c r="F386" s="17"/>
      <c r="G386" s="17" t="s">
        <v>625</v>
      </c>
      <c r="H386" s="17" t="s">
        <v>619</v>
      </c>
      <c r="I386" s="17"/>
      <c r="J386" s="17" t="s">
        <v>1628</v>
      </c>
      <c r="K386" s="17"/>
      <c r="L386" s="19"/>
      <c r="M386" s="17" t="s">
        <v>312</v>
      </c>
      <c r="N386" s="19"/>
      <c r="O386" s="17">
        <v>1</v>
      </c>
      <c r="P386" s="17"/>
      <c r="Q386" s="28"/>
      <c r="R386" s="17" t="s">
        <v>474</v>
      </c>
      <c r="S386" s="17"/>
      <c r="T386" s="35" t="s">
        <v>1639</v>
      </c>
      <c r="U386" s="28">
        <v>45943</v>
      </c>
      <c r="V386" s="17"/>
    </row>
    <row r="387" spans="1:22" ht="30" customHeight="1" x14ac:dyDescent="0.25">
      <c r="A387" s="17">
        <f>SUBTOTAL(103,B$2:B387)*1</f>
        <v>386</v>
      </c>
      <c r="B387" s="17" t="s">
        <v>292</v>
      </c>
      <c r="C387" s="18" t="s">
        <v>1629</v>
      </c>
      <c r="D387" s="18" t="s">
        <v>1287</v>
      </c>
      <c r="E387" s="17"/>
      <c r="F387" s="17"/>
      <c r="G387" s="17" t="s">
        <v>16</v>
      </c>
      <c r="H387" s="17" t="s">
        <v>618</v>
      </c>
      <c r="I387" s="17"/>
      <c r="J387" s="17" t="s">
        <v>1630</v>
      </c>
      <c r="K387" s="17" t="s">
        <v>404</v>
      </c>
      <c r="L387" s="19"/>
      <c r="M387" s="17" t="s">
        <v>211</v>
      </c>
      <c r="N387" s="19"/>
      <c r="O387" s="17">
        <v>1</v>
      </c>
      <c r="P387" s="17"/>
      <c r="Q387" s="28"/>
      <c r="R387" s="17" t="s">
        <v>474</v>
      </c>
      <c r="S387" s="17"/>
      <c r="T387" s="35" t="s">
        <v>1638</v>
      </c>
      <c r="U387" s="28">
        <v>45943</v>
      </c>
      <c r="V387" s="17"/>
    </row>
    <row r="388" spans="1:22" ht="30" customHeight="1" x14ac:dyDescent="0.25">
      <c r="A388" s="17">
        <f>SUBTOTAL(103,B$2:B388)*1</f>
        <v>387</v>
      </c>
      <c r="B388" s="17" t="s">
        <v>292</v>
      </c>
      <c r="C388" s="18" t="s">
        <v>1650</v>
      </c>
      <c r="D388" s="18" t="s">
        <v>9</v>
      </c>
      <c r="E388" s="17"/>
      <c r="F388" s="17"/>
      <c r="G388" s="17" t="s">
        <v>16</v>
      </c>
      <c r="H388" s="17" t="s">
        <v>618</v>
      </c>
      <c r="I388" s="17"/>
      <c r="J388" s="17" t="s">
        <v>1651</v>
      </c>
      <c r="K388" s="17" t="s">
        <v>404</v>
      </c>
      <c r="L388" s="19"/>
      <c r="M388" s="17" t="s">
        <v>300</v>
      </c>
      <c r="N388" s="19"/>
      <c r="O388" s="17">
        <v>3</v>
      </c>
      <c r="P388" s="17"/>
      <c r="Q388" s="28"/>
      <c r="R388" s="17" t="s">
        <v>468</v>
      </c>
      <c r="S388" s="17"/>
      <c r="T388" s="35" t="s">
        <v>1801</v>
      </c>
      <c r="U388" s="28">
        <v>45971</v>
      </c>
      <c r="V388" s="17"/>
    </row>
    <row r="389" spans="1:22" ht="30" customHeight="1" x14ac:dyDescent="0.25">
      <c r="A389" s="17">
        <f>SUBTOTAL(103,B$2:B389)*1</f>
        <v>388</v>
      </c>
      <c r="B389" s="17" t="s">
        <v>292</v>
      </c>
      <c r="C389" s="18" t="s">
        <v>1694</v>
      </c>
      <c r="D389" s="18" t="s">
        <v>1287</v>
      </c>
      <c r="E389" s="17"/>
      <c r="F389" s="17"/>
      <c r="G389" s="17" t="s">
        <v>65</v>
      </c>
      <c r="H389" s="17" t="s">
        <v>620</v>
      </c>
      <c r="I389" s="17"/>
      <c r="J389" s="17" t="s">
        <v>1663</v>
      </c>
      <c r="K389" s="17" t="s">
        <v>405</v>
      </c>
      <c r="L389" s="19"/>
      <c r="M389" s="17" t="s">
        <v>312</v>
      </c>
      <c r="N389" s="19"/>
      <c r="O389" s="17">
        <v>2</v>
      </c>
      <c r="P389" s="17"/>
      <c r="Q389" s="28"/>
      <c r="R389" s="17" t="s">
        <v>476</v>
      </c>
      <c r="S389" s="17"/>
      <c r="T389" s="35" t="s">
        <v>1691</v>
      </c>
      <c r="U389" s="28">
        <v>45957</v>
      </c>
      <c r="V389" s="17"/>
    </row>
    <row r="390" spans="1:22" ht="30" customHeight="1" x14ac:dyDescent="0.25">
      <c r="A390" s="17">
        <f>SUBTOTAL(103,B$2:B390)*1</f>
        <v>389</v>
      </c>
      <c r="B390" s="17" t="s">
        <v>292</v>
      </c>
      <c r="C390" s="18" t="s">
        <v>1695</v>
      </c>
      <c r="D390" s="18" t="s">
        <v>1287</v>
      </c>
      <c r="E390" s="17"/>
      <c r="F390" s="17"/>
      <c r="G390" s="17" t="s">
        <v>82</v>
      </c>
      <c r="H390" s="17" t="s">
        <v>619</v>
      </c>
      <c r="I390" s="17"/>
      <c r="J390" s="17" t="s">
        <v>1665</v>
      </c>
      <c r="K390" s="17" t="s">
        <v>406</v>
      </c>
      <c r="L390" s="19"/>
      <c r="M390" s="17" t="s">
        <v>312</v>
      </c>
      <c r="N390" s="19"/>
      <c r="O390" s="17">
        <v>2</v>
      </c>
      <c r="P390" s="17"/>
      <c r="Q390" s="28"/>
      <c r="R390" s="17" t="s">
        <v>476</v>
      </c>
      <c r="S390" s="17"/>
      <c r="T390" s="35" t="s">
        <v>1693</v>
      </c>
      <c r="U390" s="28">
        <v>45957</v>
      </c>
      <c r="V390" s="17"/>
    </row>
    <row r="391" spans="1:22" ht="30" customHeight="1" x14ac:dyDescent="0.25">
      <c r="A391" s="17">
        <f>SUBTOTAL(103,B$2:B391)*1</f>
        <v>390</v>
      </c>
      <c r="B391" s="17" t="s">
        <v>292</v>
      </c>
      <c r="C391" s="18" t="s">
        <v>1772</v>
      </c>
      <c r="D391" s="18" t="s">
        <v>325</v>
      </c>
      <c r="E391" s="17"/>
      <c r="F391" s="17"/>
      <c r="G391" s="17" t="s">
        <v>561</v>
      </c>
      <c r="H391" s="17" t="s">
        <v>620</v>
      </c>
      <c r="I391" s="17"/>
      <c r="J391" s="17" t="s">
        <v>1771</v>
      </c>
      <c r="K391" s="17" t="s">
        <v>404</v>
      </c>
      <c r="L391" s="19"/>
      <c r="M391" s="17" t="s">
        <v>300</v>
      </c>
      <c r="N391" s="19"/>
      <c r="O391" s="17">
        <v>2</v>
      </c>
      <c r="P391" s="17"/>
      <c r="Q391" s="28"/>
      <c r="R391" s="17" t="s">
        <v>474</v>
      </c>
      <c r="S391" s="17"/>
      <c r="T391" s="35" t="s">
        <v>1770</v>
      </c>
      <c r="U391" s="28">
        <v>45971</v>
      </c>
      <c r="V391" s="17" t="s">
        <v>2181</v>
      </c>
    </row>
    <row r="392" spans="1:22" ht="45" x14ac:dyDescent="0.25">
      <c r="A392" s="17">
        <f>SUBTOTAL(103,B$2:B392)*1</f>
        <v>391</v>
      </c>
      <c r="B392" s="17" t="s">
        <v>292</v>
      </c>
      <c r="C392" s="18" t="s">
        <v>1707</v>
      </c>
      <c r="D392" s="18" t="s">
        <v>540</v>
      </c>
      <c r="E392" s="17"/>
      <c r="F392" s="17"/>
      <c r="G392" s="17" t="s">
        <v>625</v>
      </c>
      <c r="H392" s="17" t="s">
        <v>619</v>
      </c>
      <c r="I392" s="17" t="s">
        <v>1713</v>
      </c>
      <c r="J392" s="17" t="s">
        <v>1708</v>
      </c>
      <c r="K392" s="17" t="s">
        <v>405</v>
      </c>
      <c r="L392" s="19"/>
      <c r="M392" s="17" t="s">
        <v>211</v>
      </c>
      <c r="N392" s="19"/>
      <c r="O392" s="17">
        <v>1</v>
      </c>
      <c r="P392" s="17"/>
      <c r="Q392" s="28"/>
      <c r="R392" s="17" t="s">
        <v>476</v>
      </c>
      <c r="S392" s="17"/>
      <c r="T392" s="35" t="s">
        <v>1806</v>
      </c>
      <c r="U392" s="28">
        <v>45964</v>
      </c>
      <c r="V392" s="17"/>
    </row>
    <row r="393" spans="1:22" ht="60" x14ac:dyDescent="0.25">
      <c r="A393" s="17">
        <f>SUBTOTAL(103,B$2:B393)*1</f>
        <v>392</v>
      </c>
      <c r="B393" s="17" t="s">
        <v>292</v>
      </c>
      <c r="C393" s="18" t="s">
        <v>1738</v>
      </c>
      <c r="D393" s="18" t="s">
        <v>304</v>
      </c>
      <c r="E393" s="17"/>
      <c r="F393" s="17"/>
      <c r="G393" s="17" t="s">
        <v>91</v>
      </c>
      <c r="H393" s="17" t="s">
        <v>618</v>
      </c>
      <c r="I393" s="17" t="s">
        <v>888</v>
      </c>
      <c r="J393" s="17" t="s">
        <v>1712</v>
      </c>
      <c r="K393" s="17" t="s">
        <v>412</v>
      </c>
      <c r="L393" s="19"/>
      <c r="M393" s="17" t="s">
        <v>211</v>
      </c>
      <c r="N393" s="19"/>
      <c r="O393" s="17">
        <v>1</v>
      </c>
      <c r="P393" s="17"/>
      <c r="Q393" s="28"/>
      <c r="R393" s="17" t="s">
        <v>476</v>
      </c>
      <c r="S393" s="17"/>
      <c r="T393" s="35" t="s">
        <v>1807</v>
      </c>
      <c r="U393" s="28">
        <v>45964</v>
      </c>
      <c r="V393" s="17"/>
    </row>
    <row r="394" spans="1:22" ht="30" x14ac:dyDescent="0.25">
      <c r="A394" s="17">
        <f>SUBTOTAL(103,B$2:B394)*1</f>
        <v>393</v>
      </c>
      <c r="B394" s="17" t="s">
        <v>292</v>
      </c>
      <c r="C394" s="18" t="s">
        <v>1739</v>
      </c>
      <c r="D394" s="18" t="s">
        <v>1287</v>
      </c>
      <c r="E394" s="17"/>
      <c r="F394" s="17"/>
      <c r="G394" s="17" t="s">
        <v>65</v>
      </c>
      <c r="H394" s="17" t="s">
        <v>620</v>
      </c>
      <c r="I394" s="17"/>
      <c r="J394" s="17" t="s">
        <v>1740</v>
      </c>
      <c r="K394" s="17" t="s">
        <v>404</v>
      </c>
      <c r="L394" s="19"/>
      <c r="M394" s="17" t="s">
        <v>300</v>
      </c>
      <c r="N394" s="19"/>
      <c r="O394" s="17">
        <v>2</v>
      </c>
      <c r="P394" s="17"/>
      <c r="Q394" s="28"/>
      <c r="R394" s="17" t="s">
        <v>476</v>
      </c>
      <c r="S394" s="17"/>
      <c r="T394" s="35" t="s">
        <v>1793</v>
      </c>
      <c r="U394" s="28">
        <v>45971</v>
      </c>
      <c r="V394" s="17"/>
    </row>
    <row r="395" spans="1:22" ht="45" x14ac:dyDescent="0.25">
      <c r="A395" s="17">
        <f>SUBTOTAL(103,B$2:B395)*1</f>
        <v>394</v>
      </c>
      <c r="B395" s="62" t="s">
        <v>2535</v>
      </c>
      <c r="C395" s="18" t="s">
        <v>1741</v>
      </c>
      <c r="D395" s="18" t="s">
        <v>325</v>
      </c>
      <c r="E395" s="17"/>
      <c r="F395" s="17"/>
      <c r="G395" s="17" t="s">
        <v>36</v>
      </c>
      <c r="H395" s="17" t="s">
        <v>620</v>
      </c>
      <c r="I395" s="17"/>
      <c r="J395" s="17" t="s">
        <v>1742</v>
      </c>
      <c r="K395" s="17" t="s">
        <v>404</v>
      </c>
      <c r="L395" s="19"/>
      <c r="M395" s="17" t="s">
        <v>333</v>
      </c>
      <c r="N395" s="19"/>
      <c r="O395" s="17">
        <v>7</v>
      </c>
      <c r="P395" s="17"/>
      <c r="Q395" s="28"/>
      <c r="R395" s="17" t="s">
        <v>2830</v>
      </c>
      <c r="S395" s="17"/>
      <c r="T395" s="35" t="s">
        <v>2926</v>
      </c>
      <c r="U395" s="77">
        <v>46104</v>
      </c>
      <c r="V395" s="17" t="s">
        <v>2117</v>
      </c>
    </row>
    <row r="396" spans="1:22" ht="30" customHeight="1" x14ac:dyDescent="0.25">
      <c r="A396" s="17">
        <f>SUBTOTAL(103,B$2:B396)*1</f>
        <v>395</v>
      </c>
      <c r="B396" s="17" t="s">
        <v>292</v>
      </c>
      <c r="C396" s="18" t="s">
        <v>1744</v>
      </c>
      <c r="D396" s="18" t="s">
        <v>540</v>
      </c>
      <c r="E396" s="17"/>
      <c r="F396" s="17"/>
      <c r="G396" s="17" t="s">
        <v>65</v>
      </c>
      <c r="H396" s="17" t="s">
        <v>620</v>
      </c>
      <c r="I396" s="17"/>
      <c r="J396" s="17" t="s">
        <v>1745</v>
      </c>
      <c r="K396" s="17" t="s">
        <v>404</v>
      </c>
      <c r="L396" s="19"/>
      <c r="M396" s="17" t="s">
        <v>211</v>
      </c>
      <c r="N396" s="19"/>
      <c r="O396" s="17">
        <v>1</v>
      </c>
      <c r="P396" s="17"/>
      <c r="Q396" s="28"/>
      <c r="R396" s="17" t="s">
        <v>529</v>
      </c>
      <c r="S396" s="17"/>
      <c r="T396" s="35" t="s">
        <v>1810</v>
      </c>
      <c r="U396" s="28">
        <v>45964</v>
      </c>
      <c r="V396" s="17"/>
    </row>
    <row r="397" spans="1:22" ht="30" customHeight="1" x14ac:dyDescent="0.25">
      <c r="A397" s="17">
        <f>SUBTOTAL(103,B$2:B397)*1</f>
        <v>396</v>
      </c>
      <c r="B397" s="17" t="s">
        <v>292</v>
      </c>
      <c r="C397" s="18" t="s">
        <v>1746</v>
      </c>
      <c r="D397" s="18" t="s">
        <v>298</v>
      </c>
      <c r="E397" s="17"/>
      <c r="F397" s="17"/>
      <c r="G397" s="17" t="s">
        <v>91</v>
      </c>
      <c r="H397" s="17" t="s">
        <v>618</v>
      </c>
      <c r="I397" s="17"/>
      <c r="J397" s="17" t="s">
        <v>1747</v>
      </c>
      <c r="K397" s="17" t="s">
        <v>404</v>
      </c>
      <c r="L397" s="19"/>
      <c r="M397" s="17" t="s">
        <v>211</v>
      </c>
      <c r="N397" s="19"/>
      <c r="O397" s="17">
        <v>1</v>
      </c>
      <c r="P397" s="17"/>
      <c r="Q397" s="28"/>
      <c r="R397" s="17" t="s">
        <v>529</v>
      </c>
      <c r="S397" s="17"/>
      <c r="T397" s="35" t="s">
        <v>1811</v>
      </c>
      <c r="U397" s="28">
        <v>45964</v>
      </c>
      <c r="V397" s="17"/>
    </row>
    <row r="398" spans="1:22" ht="30" customHeight="1" x14ac:dyDescent="0.25">
      <c r="A398" s="17">
        <f>SUBTOTAL(103,B$2:B398)*1</f>
        <v>397</v>
      </c>
      <c r="B398" s="17" t="s">
        <v>292</v>
      </c>
      <c r="C398" s="18" t="s">
        <v>1748</v>
      </c>
      <c r="D398" s="18" t="s">
        <v>298</v>
      </c>
      <c r="E398" s="17"/>
      <c r="F398" s="17"/>
      <c r="G398" s="17" t="s">
        <v>141</v>
      </c>
      <c r="H398" s="17" t="s">
        <v>618</v>
      </c>
      <c r="I398" s="17"/>
      <c r="J398" s="17" t="s">
        <v>1749</v>
      </c>
      <c r="K398" s="17" t="s">
        <v>404</v>
      </c>
      <c r="L398" s="19"/>
      <c r="M398" s="17" t="s">
        <v>211</v>
      </c>
      <c r="N398" s="19"/>
      <c r="O398" s="17">
        <v>1</v>
      </c>
      <c r="P398" s="17"/>
      <c r="Q398" s="28"/>
      <c r="R398" s="17" t="s">
        <v>468</v>
      </c>
      <c r="S398" s="17"/>
      <c r="T398" s="35" t="s">
        <v>1812</v>
      </c>
      <c r="U398" s="28">
        <v>45964</v>
      </c>
      <c r="V398" s="17"/>
    </row>
    <row r="399" spans="1:22" ht="30" customHeight="1" x14ac:dyDescent="0.25">
      <c r="A399" s="17">
        <f>SUBTOTAL(103,B$2:B399)*1</f>
        <v>398</v>
      </c>
      <c r="B399" s="17" t="s">
        <v>292</v>
      </c>
      <c r="C399" s="18" t="s">
        <v>1750</v>
      </c>
      <c r="D399" s="18"/>
      <c r="E399" s="17"/>
      <c r="F399" s="17"/>
      <c r="G399" s="17" t="s">
        <v>82</v>
      </c>
      <c r="H399" s="17" t="s">
        <v>619</v>
      </c>
      <c r="I399" s="17"/>
      <c r="J399" s="17" t="s">
        <v>1750</v>
      </c>
      <c r="K399" s="17" t="s">
        <v>405</v>
      </c>
      <c r="L399" s="19"/>
      <c r="M399" s="17" t="s">
        <v>211</v>
      </c>
      <c r="N399" s="19"/>
      <c r="O399" s="17">
        <v>1</v>
      </c>
      <c r="P399" s="17"/>
      <c r="Q399" s="28"/>
      <c r="R399" s="17" t="s">
        <v>474</v>
      </c>
      <c r="S399" s="17"/>
      <c r="T399" s="35" t="s">
        <v>1813</v>
      </c>
      <c r="U399" s="28">
        <v>45964</v>
      </c>
      <c r="V399" s="17"/>
    </row>
    <row r="400" spans="1:22" ht="60" x14ac:dyDescent="0.25">
      <c r="A400" s="17">
        <f>SUBTOTAL(103,B$2:B400)*1</f>
        <v>399</v>
      </c>
      <c r="B400" s="17" t="s">
        <v>292</v>
      </c>
      <c r="C400" s="18" t="s">
        <v>1767</v>
      </c>
      <c r="D400" s="18" t="s">
        <v>540</v>
      </c>
      <c r="E400" s="17"/>
      <c r="F400" s="17"/>
      <c r="G400" s="17" t="s">
        <v>561</v>
      </c>
      <c r="H400" s="17" t="s">
        <v>620</v>
      </c>
      <c r="I400" s="17"/>
      <c r="J400" s="17" t="s">
        <v>1768</v>
      </c>
      <c r="K400" s="17" t="s">
        <v>404</v>
      </c>
      <c r="L400" s="19"/>
      <c r="M400" s="17" t="s">
        <v>211</v>
      </c>
      <c r="N400" s="19"/>
      <c r="O400" s="17">
        <v>2</v>
      </c>
      <c r="P400" s="17"/>
      <c r="Q400" s="28"/>
      <c r="R400" s="17" t="s">
        <v>479</v>
      </c>
      <c r="S400" s="17"/>
      <c r="T400" s="35" t="s">
        <v>1830</v>
      </c>
      <c r="U400" s="28">
        <v>45978</v>
      </c>
      <c r="V400" s="17"/>
    </row>
    <row r="401" spans="1:22" ht="30" customHeight="1" x14ac:dyDescent="0.25">
      <c r="A401" s="17">
        <f>SUBTOTAL(103,B$2:B401)*1</f>
        <v>400</v>
      </c>
      <c r="B401" s="17" t="s">
        <v>292</v>
      </c>
      <c r="C401" s="18" t="s">
        <v>1776</v>
      </c>
      <c r="D401" s="18" t="s">
        <v>325</v>
      </c>
      <c r="E401" s="17"/>
      <c r="F401" s="17"/>
      <c r="G401" s="17" t="s">
        <v>36</v>
      </c>
      <c r="H401" s="17" t="s">
        <v>620</v>
      </c>
      <c r="I401" s="17"/>
      <c r="J401" s="17" t="s">
        <v>1775</v>
      </c>
      <c r="K401" s="17" t="s">
        <v>412</v>
      </c>
      <c r="L401" s="19"/>
      <c r="M401" s="17" t="s">
        <v>211</v>
      </c>
      <c r="N401" s="19"/>
      <c r="O401" s="17">
        <v>1</v>
      </c>
      <c r="P401" s="17"/>
      <c r="Q401" s="28"/>
      <c r="R401" s="17" t="s">
        <v>474</v>
      </c>
      <c r="S401" s="17"/>
      <c r="T401" s="35" t="s">
        <v>1823</v>
      </c>
      <c r="U401" s="28">
        <v>45971</v>
      </c>
      <c r="V401" s="17"/>
    </row>
    <row r="402" spans="1:22" ht="30" customHeight="1" x14ac:dyDescent="0.25">
      <c r="A402" s="17">
        <f>SUBTOTAL(103,B$2:B402)*1</f>
        <v>401</v>
      </c>
      <c r="B402" s="17" t="s">
        <v>292</v>
      </c>
      <c r="C402" s="18" t="s">
        <v>1778</v>
      </c>
      <c r="D402" s="18" t="s">
        <v>325</v>
      </c>
      <c r="E402" s="17"/>
      <c r="F402" s="17"/>
      <c r="G402" s="17" t="s">
        <v>32</v>
      </c>
      <c r="H402" s="17" t="s">
        <v>619</v>
      </c>
      <c r="I402" s="17"/>
      <c r="J402" s="17" t="s">
        <v>1779</v>
      </c>
      <c r="K402" s="17" t="s">
        <v>404</v>
      </c>
      <c r="L402" s="19"/>
      <c r="M402" s="17" t="s">
        <v>211</v>
      </c>
      <c r="N402" s="19"/>
      <c r="O402" s="17">
        <v>1</v>
      </c>
      <c r="P402" s="17"/>
      <c r="Q402" s="28"/>
      <c r="R402" s="17" t="s">
        <v>474</v>
      </c>
      <c r="S402" s="17"/>
      <c r="T402" s="35" t="s">
        <v>1824</v>
      </c>
      <c r="U402" s="28">
        <v>45971</v>
      </c>
      <c r="V402" s="17" t="s">
        <v>2179</v>
      </c>
    </row>
    <row r="403" spans="1:22" ht="30" customHeight="1" x14ac:dyDescent="0.25">
      <c r="A403" s="17">
        <f>SUBTOTAL(103,B$2:B403)*1</f>
        <v>402</v>
      </c>
      <c r="B403" s="17" t="s">
        <v>292</v>
      </c>
      <c r="C403" s="18" t="s">
        <v>1789</v>
      </c>
      <c r="D403" s="18" t="s">
        <v>1287</v>
      </c>
      <c r="E403" s="17"/>
      <c r="F403" s="17"/>
      <c r="G403" s="17" t="s">
        <v>65</v>
      </c>
      <c r="H403" s="17" t="s">
        <v>620</v>
      </c>
      <c r="I403" s="17"/>
      <c r="J403" s="17" t="s">
        <v>1787</v>
      </c>
      <c r="K403" s="17" t="s">
        <v>405</v>
      </c>
      <c r="L403" s="19"/>
      <c r="M403" s="17" t="s">
        <v>211</v>
      </c>
      <c r="N403" s="19"/>
      <c r="O403" s="17">
        <v>1</v>
      </c>
      <c r="P403" s="17"/>
      <c r="Q403" s="28"/>
      <c r="R403" s="17" t="s">
        <v>476</v>
      </c>
      <c r="S403" s="17"/>
      <c r="T403" s="35" t="s">
        <v>1826</v>
      </c>
      <c r="U403" s="28">
        <v>45971</v>
      </c>
      <c r="V403" s="17"/>
    </row>
    <row r="404" spans="1:22" ht="30" customHeight="1" x14ac:dyDescent="0.25">
      <c r="A404" s="17">
        <f>SUBTOTAL(103,B$2:B404)*1</f>
        <v>403</v>
      </c>
      <c r="B404" s="17" t="s">
        <v>292</v>
      </c>
      <c r="C404" s="18" t="s">
        <v>1827</v>
      </c>
      <c r="D404" s="18" t="s">
        <v>540</v>
      </c>
      <c r="E404" s="17"/>
      <c r="F404" s="17"/>
      <c r="G404" s="17" t="s">
        <v>621</v>
      </c>
      <c r="H404" s="17" t="s">
        <v>618</v>
      </c>
      <c r="I404" s="17"/>
      <c r="J404" s="17" t="s">
        <v>1828</v>
      </c>
      <c r="K404" s="17" t="s">
        <v>404</v>
      </c>
      <c r="L404" s="19"/>
      <c r="M404" s="17" t="s">
        <v>211</v>
      </c>
      <c r="N404" s="19"/>
      <c r="O404" s="17">
        <v>1</v>
      </c>
      <c r="P404" s="17"/>
      <c r="Q404" s="28"/>
      <c r="R404" s="17" t="s">
        <v>532</v>
      </c>
      <c r="S404" s="17"/>
      <c r="T404" s="35" t="s">
        <v>1881</v>
      </c>
      <c r="U404" s="28">
        <v>45978</v>
      </c>
      <c r="V404" s="17"/>
    </row>
    <row r="405" spans="1:22" ht="30" customHeight="1" x14ac:dyDescent="0.25">
      <c r="A405" s="17">
        <f>SUBTOTAL(103,B$2:B405)*1</f>
        <v>404</v>
      </c>
      <c r="B405" s="17" t="s">
        <v>292</v>
      </c>
      <c r="C405" s="18" t="s">
        <v>1834</v>
      </c>
      <c r="D405" s="18" t="s">
        <v>298</v>
      </c>
      <c r="E405" s="17"/>
      <c r="F405" s="17"/>
      <c r="G405" s="17" t="s">
        <v>84</v>
      </c>
      <c r="H405" s="17" t="s">
        <v>618</v>
      </c>
      <c r="I405" s="17"/>
      <c r="J405" s="17" t="s">
        <v>1833</v>
      </c>
      <c r="K405" s="17" t="s">
        <v>404</v>
      </c>
      <c r="L405" s="19"/>
      <c r="M405" s="17" t="s">
        <v>300</v>
      </c>
      <c r="N405" s="19"/>
      <c r="O405" s="17">
        <v>2</v>
      </c>
      <c r="P405" s="17"/>
      <c r="Q405" s="28"/>
      <c r="R405" s="17" t="s">
        <v>468</v>
      </c>
      <c r="S405" s="17"/>
      <c r="T405" s="35" t="s">
        <v>2172</v>
      </c>
      <c r="U405" s="28">
        <v>46013</v>
      </c>
      <c r="V405" s="17"/>
    </row>
    <row r="406" spans="1:22" ht="30" customHeight="1" x14ac:dyDescent="0.25">
      <c r="A406" s="17">
        <f>SUBTOTAL(103,B$2:B406)*1</f>
        <v>405</v>
      </c>
      <c r="B406" s="17" t="s">
        <v>292</v>
      </c>
      <c r="C406" s="18" t="s">
        <v>1843</v>
      </c>
      <c r="D406" s="18" t="s">
        <v>304</v>
      </c>
      <c r="E406" s="17"/>
      <c r="F406" s="17"/>
      <c r="G406" s="17" t="s">
        <v>1841</v>
      </c>
      <c r="H406" s="17" t="s">
        <v>1842</v>
      </c>
      <c r="I406" s="17"/>
      <c r="J406" s="17" t="s">
        <v>1840</v>
      </c>
      <c r="K406" s="17" t="s">
        <v>748</v>
      </c>
      <c r="L406" s="19"/>
      <c r="M406" s="17" t="s">
        <v>211</v>
      </c>
      <c r="N406" s="19"/>
      <c r="O406" s="17">
        <v>1</v>
      </c>
      <c r="P406" s="17"/>
      <c r="Q406" s="28"/>
      <c r="R406" s="17" t="s">
        <v>443</v>
      </c>
      <c r="S406" s="17"/>
      <c r="T406" s="35" t="s">
        <v>1882</v>
      </c>
      <c r="U406" s="28">
        <v>45978</v>
      </c>
      <c r="V406" s="17"/>
    </row>
    <row r="407" spans="1:22" ht="30" customHeight="1" x14ac:dyDescent="0.25">
      <c r="A407" s="17">
        <f>SUBTOTAL(103,B$2:B407)*1</f>
        <v>406</v>
      </c>
      <c r="B407" s="17" t="s">
        <v>292</v>
      </c>
      <c r="C407" s="18" t="s">
        <v>1847</v>
      </c>
      <c r="D407" s="18" t="s">
        <v>325</v>
      </c>
      <c r="E407" s="17"/>
      <c r="F407" s="17"/>
      <c r="G407" s="17" t="s">
        <v>1848</v>
      </c>
      <c r="H407" s="17" t="s">
        <v>1849</v>
      </c>
      <c r="I407" s="17"/>
      <c r="J407" s="17" t="s">
        <v>1846</v>
      </c>
      <c r="K407" s="17" t="s">
        <v>1845</v>
      </c>
      <c r="L407" s="19"/>
      <c r="M407" s="17" t="s">
        <v>333</v>
      </c>
      <c r="N407" s="19"/>
      <c r="O407" s="17">
        <v>3</v>
      </c>
      <c r="P407" s="17"/>
      <c r="Q407" s="28"/>
      <c r="R407" s="17" t="s">
        <v>443</v>
      </c>
      <c r="S407" s="17"/>
      <c r="T407" s="35" t="s">
        <v>1989</v>
      </c>
      <c r="U407" s="28">
        <v>45992</v>
      </c>
      <c r="V407" s="17" t="s">
        <v>2182</v>
      </c>
    </row>
    <row r="408" spans="1:22" ht="30" customHeight="1" x14ac:dyDescent="0.25">
      <c r="A408" s="17">
        <f>SUBTOTAL(103,B$2:B408)*1</f>
        <v>407</v>
      </c>
      <c r="B408" s="17" t="s">
        <v>292</v>
      </c>
      <c r="C408" s="18" t="s">
        <v>1854</v>
      </c>
      <c r="D408" s="18" t="s">
        <v>325</v>
      </c>
      <c r="E408" s="17"/>
      <c r="F408" s="17"/>
      <c r="G408" s="17" t="s">
        <v>1852</v>
      </c>
      <c r="H408" s="17" t="s">
        <v>1853</v>
      </c>
      <c r="I408" s="17"/>
      <c r="J408" s="17" t="s">
        <v>1851</v>
      </c>
      <c r="K408" s="17" t="s">
        <v>748</v>
      </c>
      <c r="L408" s="19"/>
      <c r="M408" s="17" t="s">
        <v>211</v>
      </c>
      <c r="N408" s="19"/>
      <c r="O408" s="17">
        <v>1</v>
      </c>
      <c r="P408" s="17"/>
      <c r="Q408" s="28"/>
      <c r="R408" s="17" t="s">
        <v>443</v>
      </c>
      <c r="S408" s="17"/>
      <c r="T408" s="35" t="s">
        <v>1883</v>
      </c>
      <c r="U408" s="28">
        <v>45978</v>
      </c>
      <c r="V408" s="17"/>
    </row>
    <row r="409" spans="1:22" ht="30" customHeight="1" x14ac:dyDescent="0.25">
      <c r="A409" s="17">
        <f>SUBTOTAL(103,B$2:B409)*1</f>
        <v>408</v>
      </c>
      <c r="B409" s="17" t="s">
        <v>292</v>
      </c>
      <c r="C409" s="18" t="s">
        <v>1864</v>
      </c>
      <c r="D409" s="18" t="s">
        <v>298</v>
      </c>
      <c r="E409" s="17"/>
      <c r="F409" s="17"/>
      <c r="G409" s="17" t="s">
        <v>84</v>
      </c>
      <c r="H409" s="17" t="s">
        <v>618</v>
      </c>
      <c r="I409" s="17"/>
      <c r="J409" s="17" t="s">
        <v>1863</v>
      </c>
      <c r="K409" s="17" t="s">
        <v>748</v>
      </c>
      <c r="L409" s="19">
        <v>5500000</v>
      </c>
      <c r="M409" s="17" t="s">
        <v>53</v>
      </c>
      <c r="N409" s="19"/>
      <c r="O409" s="17">
        <v>2</v>
      </c>
      <c r="P409" s="17"/>
      <c r="Q409" s="28"/>
      <c r="R409" s="17" t="s">
        <v>468</v>
      </c>
      <c r="S409" s="17"/>
      <c r="T409" s="35" t="s">
        <v>1931</v>
      </c>
      <c r="U409" s="28">
        <v>45985</v>
      </c>
      <c r="V409" s="17"/>
    </row>
    <row r="410" spans="1:22" ht="30" customHeight="1" x14ac:dyDescent="0.25">
      <c r="A410" s="17">
        <f>SUBTOTAL(103,B$2:B410)*1</f>
        <v>409</v>
      </c>
      <c r="B410" s="17" t="s">
        <v>292</v>
      </c>
      <c r="C410" s="18" t="s">
        <v>2007</v>
      </c>
      <c r="D410" s="18" t="s">
        <v>325</v>
      </c>
      <c r="E410" s="17"/>
      <c r="F410" s="17"/>
      <c r="G410" s="17" t="s">
        <v>84</v>
      </c>
      <c r="H410" s="17" t="s">
        <v>618</v>
      </c>
      <c r="I410" s="17"/>
      <c r="J410" s="17" t="s">
        <v>1863</v>
      </c>
      <c r="K410" s="17" t="s">
        <v>748</v>
      </c>
      <c r="L410" s="19"/>
      <c r="M410" s="17" t="s">
        <v>211</v>
      </c>
      <c r="N410" s="19"/>
      <c r="O410" s="17">
        <v>1</v>
      </c>
      <c r="P410" s="17"/>
      <c r="Q410" s="28"/>
      <c r="R410" s="17" t="s">
        <v>474</v>
      </c>
      <c r="S410" s="17"/>
      <c r="T410" s="35"/>
      <c r="U410" s="28">
        <v>45992</v>
      </c>
      <c r="V410" s="17" t="s">
        <v>2006</v>
      </c>
    </row>
    <row r="411" spans="1:22" ht="30" customHeight="1" x14ac:dyDescent="0.25">
      <c r="A411" s="17">
        <f>SUBTOTAL(103,B$2:B411)*1</f>
        <v>410</v>
      </c>
      <c r="B411" s="17" t="s">
        <v>292</v>
      </c>
      <c r="C411" s="18" t="s">
        <v>1868</v>
      </c>
      <c r="D411" s="18" t="s">
        <v>540</v>
      </c>
      <c r="E411" s="17"/>
      <c r="F411" s="17"/>
      <c r="G411" s="17" t="s">
        <v>84</v>
      </c>
      <c r="H411" s="17" t="s">
        <v>618</v>
      </c>
      <c r="I411" s="17"/>
      <c r="J411" s="17" t="s">
        <v>1867</v>
      </c>
      <c r="K411" s="17" t="s">
        <v>748</v>
      </c>
      <c r="L411" s="19"/>
      <c r="M411" s="17" t="s">
        <v>27</v>
      </c>
      <c r="N411" s="19"/>
      <c r="O411" s="17">
        <v>1</v>
      </c>
      <c r="P411" s="17"/>
      <c r="Q411" s="28"/>
      <c r="R411" s="17" t="s">
        <v>1865</v>
      </c>
      <c r="S411" s="17"/>
      <c r="T411" s="35" t="s">
        <v>1884</v>
      </c>
      <c r="U411" s="28">
        <v>45978</v>
      </c>
      <c r="V411" s="17"/>
    </row>
    <row r="412" spans="1:22" ht="30.5" customHeight="1" x14ac:dyDescent="0.25">
      <c r="A412" s="17">
        <f>SUBTOTAL(103,B$2:B412)*1</f>
        <v>411</v>
      </c>
      <c r="B412" s="17" t="s">
        <v>292</v>
      </c>
      <c r="C412" s="18" t="s">
        <v>1875</v>
      </c>
      <c r="D412" s="18" t="s">
        <v>298</v>
      </c>
      <c r="E412" s="17"/>
      <c r="F412" s="17"/>
      <c r="G412" s="17" t="s">
        <v>84</v>
      </c>
      <c r="H412" s="17" t="s">
        <v>618</v>
      </c>
      <c r="I412" s="17"/>
      <c r="J412" s="17" t="s">
        <v>1874</v>
      </c>
      <c r="K412" s="17" t="s">
        <v>1845</v>
      </c>
      <c r="L412" s="19"/>
      <c r="M412" s="17" t="s">
        <v>300</v>
      </c>
      <c r="N412" s="19"/>
      <c r="O412" s="17">
        <v>2</v>
      </c>
      <c r="P412" s="17"/>
      <c r="Q412" s="28"/>
      <c r="R412" s="17" t="s">
        <v>533</v>
      </c>
      <c r="S412" s="17"/>
      <c r="T412" s="35" t="s">
        <v>1976</v>
      </c>
      <c r="U412" s="28">
        <v>45992</v>
      </c>
      <c r="V412" s="17"/>
    </row>
    <row r="413" spans="1:22" ht="30" customHeight="1" x14ac:dyDescent="0.25">
      <c r="A413" s="17">
        <f>SUBTOTAL(103,B$2:B413)*1</f>
        <v>412</v>
      </c>
      <c r="B413" s="17" t="s">
        <v>292</v>
      </c>
      <c r="C413" s="18" t="s">
        <v>1877</v>
      </c>
      <c r="D413" s="18"/>
      <c r="E413" s="17"/>
      <c r="F413" s="17"/>
      <c r="G413" s="17" t="s">
        <v>48</v>
      </c>
      <c r="H413" s="17" t="s">
        <v>618</v>
      </c>
      <c r="I413" s="17"/>
      <c r="J413" s="17" t="s">
        <v>1878</v>
      </c>
      <c r="K413" s="17" t="s">
        <v>406</v>
      </c>
      <c r="L413" s="19"/>
      <c r="M413" s="17" t="s">
        <v>211</v>
      </c>
      <c r="N413" s="19"/>
      <c r="O413" s="17">
        <v>1</v>
      </c>
      <c r="P413" s="17"/>
      <c r="Q413" s="28"/>
      <c r="R413" s="17" t="s">
        <v>533</v>
      </c>
      <c r="S413" s="17"/>
      <c r="T413" s="35" t="s">
        <v>1885</v>
      </c>
      <c r="U413" s="28">
        <v>45978</v>
      </c>
      <c r="V413" s="17"/>
    </row>
    <row r="414" spans="1:22" ht="28.5" customHeight="1" x14ac:dyDescent="0.25">
      <c r="A414" s="17">
        <f>SUBTOTAL(103,B$2:B414)*1</f>
        <v>413</v>
      </c>
      <c r="B414" s="17" t="s">
        <v>1886</v>
      </c>
      <c r="C414" s="18" t="s">
        <v>1898</v>
      </c>
      <c r="D414" s="18"/>
      <c r="E414" s="17"/>
      <c r="F414" s="17"/>
      <c r="G414" s="17" t="s">
        <v>136</v>
      </c>
      <c r="H414" s="17" t="s">
        <v>620</v>
      </c>
      <c r="I414" s="17"/>
      <c r="J414" s="17" t="s">
        <v>1899</v>
      </c>
      <c r="K414" s="17" t="s">
        <v>404</v>
      </c>
      <c r="L414" s="19"/>
      <c r="M414" s="17" t="s">
        <v>211</v>
      </c>
      <c r="N414" s="19"/>
      <c r="O414" s="17">
        <v>1</v>
      </c>
      <c r="P414" s="17"/>
      <c r="Q414" s="28"/>
      <c r="R414" s="17" t="s">
        <v>475</v>
      </c>
      <c r="S414" s="17"/>
      <c r="T414" s="35" t="s">
        <v>1964</v>
      </c>
      <c r="U414" s="28">
        <v>45985</v>
      </c>
      <c r="V414" s="17"/>
    </row>
    <row r="415" spans="1:22" ht="45" x14ac:dyDescent="0.25">
      <c r="A415" s="17">
        <f>SUBTOTAL(103,B$2:B415)*1</f>
        <v>414</v>
      </c>
      <c r="B415" s="17" t="s">
        <v>1886</v>
      </c>
      <c r="C415" s="18" t="s">
        <v>1907</v>
      </c>
      <c r="D415" s="18" t="s">
        <v>1287</v>
      </c>
      <c r="E415" s="17"/>
      <c r="F415" s="17"/>
      <c r="G415" s="17" t="s">
        <v>6</v>
      </c>
      <c r="H415" s="17" t="s">
        <v>618</v>
      </c>
      <c r="I415" s="17"/>
      <c r="J415" s="17" t="s">
        <v>1906</v>
      </c>
      <c r="K415" s="17" t="s">
        <v>404</v>
      </c>
      <c r="L415" s="19"/>
      <c r="M415" s="17" t="s">
        <v>211</v>
      </c>
      <c r="N415" s="19"/>
      <c r="O415" s="17">
        <v>1</v>
      </c>
      <c r="P415" s="17"/>
      <c r="Q415" s="28"/>
      <c r="R415" s="17" t="s">
        <v>533</v>
      </c>
      <c r="S415" s="17"/>
      <c r="T415" s="35" t="s">
        <v>1965</v>
      </c>
      <c r="U415" s="28">
        <v>45985</v>
      </c>
      <c r="V415" s="17"/>
    </row>
    <row r="416" spans="1:22" ht="45" x14ac:dyDescent="0.25">
      <c r="A416" s="17">
        <f>SUBTOTAL(103,B$2:B416)*1</f>
        <v>415</v>
      </c>
      <c r="B416" s="17" t="s">
        <v>292</v>
      </c>
      <c r="C416" s="18" t="s">
        <v>1917</v>
      </c>
      <c r="D416" s="18" t="s">
        <v>304</v>
      </c>
      <c r="E416" s="17"/>
      <c r="F416" s="17"/>
      <c r="G416" s="17" t="s">
        <v>6</v>
      </c>
      <c r="H416" s="17" t="s">
        <v>618</v>
      </c>
      <c r="I416" s="17"/>
      <c r="J416" s="17" t="s">
        <v>1916</v>
      </c>
      <c r="K416" s="17" t="s">
        <v>405</v>
      </c>
      <c r="L416" s="19"/>
      <c r="M416" s="17" t="s">
        <v>211</v>
      </c>
      <c r="N416" s="19"/>
      <c r="O416" s="17">
        <v>1</v>
      </c>
      <c r="P416" s="17"/>
      <c r="Q416" s="28"/>
      <c r="R416" s="17" t="s">
        <v>529</v>
      </c>
      <c r="S416" s="17"/>
      <c r="T416" s="35" t="s">
        <v>1957</v>
      </c>
      <c r="U416" s="28">
        <v>45985</v>
      </c>
      <c r="V416" s="17"/>
    </row>
    <row r="417" spans="1:22" ht="45" x14ac:dyDescent="0.25">
      <c r="A417" s="17">
        <f>SUBTOTAL(103,B$2:B417)*1</f>
        <v>416</v>
      </c>
      <c r="B417" s="17" t="s">
        <v>292</v>
      </c>
      <c r="C417" s="18" t="s">
        <v>1922</v>
      </c>
      <c r="D417" s="18" t="s">
        <v>1287</v>
      </c>
      <c r="E417" s="17"/>
      <c r="F417" s="17"/>
      <c r="G417" s="17" t="s">
        <v>82</v>
      </c>
      <c r="H417" s="17" t="s">
        <v>619</v>
      </c>
      <c r="I417" s="17"/>
      <c r="J417" s="17" t="s">
        <v>1921</v>
      </c>
      <c r="K417" s="17" t="s">
        <v>405</v>
      </c>
      <c r="L417" s="19"/>
      <c r="M417" s="17" t="s">
        <v>211</v>
      </c>
      <c r="N417" s="19"/>
      <c r="O417" s="17">
        <v>1</v>
      </c>
      <c r="P417" s="17"/>
      <c r="Q417" s="28"/>
      <c r="R417" s="17" t="s">
        <v>529</v>
      </c>
      <c r="S417" s="17"/>
      <c r="T417" s="35" t="s">
        <v>1958</v>
      </c>
      <c r="U417" s="28">
        <v>45985</v>
      </c>
      <c r="V417" s="17"/>
    </row>
    <row r="418" spans="1:22" ht="30" x14ac:dyDescent="0.25">
      <c r="A418" s="17">
        <f>SUBTOTAL(103,B$2:B418)*1</f>
        <v>417</v>
      </c>
      <c r="B418" s="17" t="s">
        <v>292</v>
      </c>
      <c r="C418" s="18" t="s">
        <v>1927</v>
      </c>
      <c r="D418" s="18" t="s">
        <v>1287</v>
      </c>
      <c r="E418" s="17"/>
      <c r="F418" s="17"/>
      <c r="G418" s="17" t="s">
        <v>621</v>
      </c>
      <c r="H418" s="17" t="s">
        <v>618</v>
      </c>
      <c r="I418" s="17"/>
      <c r="J418" s="17" t="s">
        <v>1926</v>
      </c>
      <c r="K418" s="17" t="s">
        <v>405</v>
      </c>
      <c r="L418" s="19"/>
      <c r="M418" s="17" t="s">
        <v>211</v>
      </c>
      <c r="N418" s="19"/>
      <c r="O418" s="17">
        <v>1</v>
      </c>
      <c r="P418" s="17"/>
      <c r="Q418" s="28"/>
      <c r="R418" s="17" t="s">
        <v>529</v>
      </c>
      <c r="S418" s="17"/>
      <c r="T418" s="35" t="s">
        <v>1959</v>
      </c>
      <c r="U418" s="28">
        <v>45985</v>
      </c>
      <c r="V418" s="17"/>
    </row>
    <row r="419" spans="1:22" ht="45" x14ac:dyDescent="0.25">
      <c r="A419" s="17">
        <f>SUBTOTAL(103,B$2:B419)*1</f>
        <v>418</v>
      </c>
      <c r="B419" s="17" t="s">
        <v>292</v>
      </c>
      <c r="C419" s="18" t="s">
        <v>1936</v>
      </c>
      <c r="D419" s="18" t="s">
        <v>540</v>
      </c>
      <c r="E419" s="17"/>
      <c r="F419" s="17"/>
      <c r="G419" s="17" t="s">
        <v>141</v>
      </c>
      <c r="H419" s="17" t="s">
        <v>618</v>
      </c>
      <c r="I419" s="17"/>
      <c r="J419" s="17" t="s">
        <v>1935</v>
      </c>
      <c r="K419" s="17" t="s">
        <v>406</v>
      </c>
      <c r="L419" s="19"/>
      <c r="M419" s="17" t="s">
        <v>211</v>
      </c>
      <c r="N419" s="19"/>
      <c r="O419" s="17">
        <v>1</v>
      </c>
      <c r="P419" s="17"/>
      <c r="Q419" s="28"/>
      <c r="R419" s="17" t="s">
        <v>479</v>
      </c>
      <c r="S419" s="17"/>
      <c r="T419" s="35" t="s">
        <v>1960</v>
      </c>
      <c r="U419" s="28">
        <v>45985</v>
      </c>
      <c r="V419" s="17"/>
    </row>
    <row r="420" spans="1:22" ht="60" x14ac:dyDescent="0.25">
      <c r="A420" s="17">
        <f>SUBTOTAL(103,B$2:B420)*1</f>
        <v>419</v>
      </c>
      <c r="B420" s="17" t="s">
        <v>292</v>
      </c>
      <c r="C420" s="18" t="s">
        <v>1939</v>
      </c>
      <c r="D420" s="18" t="s">
        <v>1023</v>
      </c>
      <c r="E420" s="17"/>
      <c r="F420" s="17"/>
      <c r="G420" s="17" t="s">
        <v>82</v>
      </c>
      <c r="H420" s="17" t="s">
        <v>619</v>
      </c>
      <c r="I420" s="17"/>
      <c r="J420" s="17" t="s">
        <v>1938</v>
      </c>
      <c r="K420" s="17" t="s">
        <v>406</v>
      </c>
      <c r="L420" s="19"/>
      <c r="M420" s="17" t="s">
        <v>333</v>
      </c>
      <c r="N420" s="19"/>
      <c r="O420" s="17">
        <v>3</v>
      </c>
      <c r="P420" s="17"/>
      <c r="Q420" s="28"/>
      <c r="R420" s="17" t="s">
        <v>479</v>
      </c>
      <c r="S420" s="17"/>
      <c r="T420" s="35" t="s">
        <v>1994</v>
      </c>
      <c r="U420" s="28">
        <v>45992</v>
      </c>
      <c r="V420" s="17"/>
    </row>
    <row r="421" spans="1:22" ht="24.5" customHeight="1" x14ac:dyDescent="0.25">
      <c r="A421" s="17">
        <f>SUBTOTAL(103,B$2:B421)*1</f>
        <v>420</v>
      </c>
      <c r="B421" s="17" t="s">
        <v>292</v>
      </c>
      <c r="C421" s="18" t="s">
        <v>1947</v>
      </c>
      <c r="D421" s="18" t="s">
        <v>325</v>
      </c>
      <c r="E421" s="17"/>
      <c r="F421" s="17"/>
      <c r="G421" s="17" t="s">
        <v>25</v>
      </c>
      <c r="H421" s="17" t="s">
        <v>618</v>
      </c>
      <c r="I421" s="17"/>
      <c r="J421" s="17" t="s">
        <v>1946</v>
      </c>
      <c r="K421" s="17" t="s">
        <v>404</v>
      </c>
      <c r="L421" s="19"/>
      <c r="M421" s="17" t="s">
        <v>211</v>
      </c>
      <c r="N421" s="19"/>
      <c r="O421" s="17">
        <v>1</v>
      </c>
      <c r="P421" s="17"/>
      <c r="Q421" s="28"/>
      <c r="R421" s="17" t="s">
        <v>474</v>
      </c>
      <c r="S421" s="17"/>
      <c r="T421" s="35" t="s">
        <v>2852</v>
      </c>
      <c r="U421" s="28">
        <v>45985</v>
      </c>
      <c r="V421" s="17"/>
    </row>
    <row r="422" spans="1:22" ht="24.5" customHeight="1" x14ac:dyDescent="0.25">
      <c r="A422" s="17">
        <f>SUBTOTAL(103,B$2:B422)*1</f>
        <v>421</v>
      </c>
      <c r="B422" s="62" t="s">
        <v>2535</v>
      </c>
      <c r="C422" s="18" t="s">
        <v>2008</v>
      </c>
      <c r="D422" s="18" t="s">
        <v>325</v>
      </c>
      <c r="E422" s="17"/>
      <c r="F422" s="17"/>
      <c r="G422" s="17" t="s">
        <v>2009</v>
      </c>
      <c r="H422" s="17" t="s">
        <v>2010</v>
      </c>
      <c r="I422" s="17"/>
      <c r="J422" s="17" t="s">
        <v>2011</v>
      </c>
      <c r="K422" s="17" t="s">
        <v>404</v>
      </c>
      <c r="L422" s="19"/>
      <c r="M422" s="17" t="s">
        <v>333</v>
      </c>
      <c r="N422" s="19"/>
      <c r="O422" s="17">
        <v>4</v>
      </c>
      <c r="P422" s="17"/>
      <c r="Q422" s="28"/>
      <c r="R422" s="17" t="s">
        <v>2854</v>
      </c>
      <c r="S422" s="17"/>
      <c r="T422" s="35" t="s">
        <v>2853</v>
      </c>
      <c r="U422" s="28">
        <v>46097</v>
      </c>
      <c r="V422" s="17" t="s">
        <v>2012</v>
      </c>
    </row>
    <row r="423" spans="1:22" ht="30" customHeight="1" x14ac:dyDescent="0.25">
      <c r="A423" s="17">
        <f>SUBTOTAL(103,B$2:B423)*1</f>
        <v>422</v>
      </c>
      <c r="B423" s="17" t="s">
        <v>2535</v>
      </c>
      <c r="C423" s="18" t="s">
        <v>2567</v>
      </c>
      <c r="D423" s="17" t="s">
        <v>540</v>
      </c>
      <c r="E423" s="17"/>
      <c r="F423" s="17"/>
      <c r="G423" s="17" t="s">
        <v>381</v>
      </c>
      <c r="H423" s="17" t="s">
        <v>923</v>
      </c>
      <c r="I423" s="17"/>
      <c r="J423" s="17" t="s">
        <v>2565</v>
      </c>
      <c r="K423" s="17" t="s">
        <v>748</v>
      </c>
      <c r="L423" s="19"/>
      <c r="M423" s="17" t="s">
        <v>342</v>
      </c>
      <c r="N423" s="19"/>
      <c r="O423" s="17">
        <v>1</v>
      </c>
      <c r="P423" s="17"/>
      <c r="Q423" s="28"/>
      <c r="R423" s="17" t="s">
        <v>2566</v>
      </c>
      <c r="S423" s="17"/>
      <c r="T423" s="20" t="s">
        <v>2588</v>
      </c>
      <c r="U423" s="28">
        <v>46034</v>
      </c>
      <c r="V423" s="17"/>
    </row>
    <row r="424" spans="1:22" ht="24.5" customHeight="1" x14ac:dyDescent="0.25">
      <c r="A424" s="17">
        <f>SUBTOTAL(103,B$2:B424)*1</f>
        <v>423</v>
      </c>
      <c r="B424" s="62" t="s">
        <v>2535</v>
      </c>
      <c r="C424" s="18" t="s">
        <v>1953</v>
      </c>
      <c r="D424" s="18" t="s">
        <v>540</v>
      </c>
      <c r="E424" s="17"/>
      <c r="F424" s="17"/>
      <c r="G424" s="17" t="s">
        <v>22</v>
      </c>
      <c r="H424" s="17" t="s">
        <v>618</v>
      </c>
      <c r="I424" s="17"/>
      <c r="J424" s="17" t="s">
        <v>1954</v>
      </c>
      <c r="K424" s="17" t="s">
        <v>404</v>
      </c>
      <c r="L424" s="19"/>
      <c r="M424" s="17" t="s">
        <v>300</v>
      </c>
      <c r="N424" s="19"/>
      <c r="O424" s="17">
        <v>3</v>
      </c>
      <c r="P424" s="17"/>
      <c r="Q424" s="28"/>
      <c r="R424" s="17" t="s">
        <v>529</v>
      </c>
      <c r="S424" s="17"/>
      <c r="T424" s="35" t="s">
        <v>2554</v>
      </c>
      <c r="U424" s="28">
        <v>46034</v>
      </c>
      <c r="V424" s="17"/>
    </row>
    <row r="425" spans="1:22" ht="24.5" customHeight="1" x14ac:dyDescent="0.25">
      <c r="A425" s="17">
        <f>SUBTOTAL(103,B$2:B425)*1</f>
        <v>424</v>
      </c>
      <c r="B425" s="17" t="s">
        <v>292</v>
      </c>
      <c r="C425" s="18" t="s">
        <v>1955</v>
      </c>
      <c r="D425" s="18" t="s">
        <v>540</v>
      </c>
      <c r="E425" s="17"/>
      <c r="F425" s="17"/>
      <c r="G425" s="17" t="s">
        <v>136</v>
      </c>
      <c r="H425" s="17" t="s">
        <v>620</v>
      </c>
      <c r="I425" s="17"/>
      <c r="J425" s="17" t="s">
        <v>1956</v>
      </c>
      <c r="K425" s="17" t="s">
        <v>405</v>
      </c>
      <c r="L425" s="19"/>
      <c r="M425" s="17" t="s">
        <v>211</v>
      </c>
      <c r="N425" s="19"/>
      <c r="O425" s="17">
        <v>1</v>
      </c>
      <c r="P425" s="17"/>
      <c r="Q425" s="28"/>
      <c r="R425" s="17" t="s">
        <v>529</v>
      </c>
      <c r="S425" s="17"/>
      <c r="T425" s="35" t="s">
        <v>2017</v>
      </c>
      <c r="U425" s="28">
        <v>45992</v>
      </c>
      <c r="V425" s="17"/>
    </row>
    <row r="426" spans="1:22" ht="24.5" customHeight="1" x14ac:dyDescent="0.25">
      <c r="A426" s="17">
        <f>SUBTOTAL(103,B$2:B426)*1</f>
        <v>425</v>
      </c>
      <c r="B426" s="17" t="s">
        <v>292</v>
      </c>
      <c r="C426" s="18" t="s">
        <v>1968</v>
      </c>
      <c r="D426" s="18" t="s">
        <v>540</v>
      </c>
      <c r="E426" s="17"/>
      <c r="F426" s="17"/>
      <c r="G426" s="17" t="s">
        <v>136</v>
      </c>
      <c r="H426" s="17" t="s">
        <v>620</v>
      </c>
      <c r="I426" s="17"/>
      <c r="J426" s="17" t="s">
        <v>1967</v>
      </c>
      <c r="K426" s="17" t="s">
        <v>404</v>
      </c>
      <c r="L426" s="19"/>
      <c r="M426" s="17" t="s">
        <v>211</v>
      </c>
      <c r="N426" s="19"/>
      <c r="O426" s="17">
        <v>1</v>
      </c>
      <c r="P426" s="17"/>
      <c r="Q426" s="28"/>
      <c r="R426" s="17" t="s">
        <v>529</v>
      </c>
      <c r="S426" s="17"/>
      <c r="T426" s="35" t="s">
        <v>2018</v>
      </c>
      <c r="U426" s="28">
        <v>45992</v>
      </c>
      <c r="V426" s="17"/>
    </row>
    <row r="427" spans="1:22" ht="24.5" customHeight="1" x14ac:dyDescent="0.25">
      <c r="A427" s="17">
        <f>SUBTOTAL(103,B$2:B427)*1</f>
        <v>426</v>
      </c>
      <c r="B427" s="17" t="s">
        <v>292</v>
      </c>
      <c r="C427" s="18" t="s">
        <v>1971</v>
      </c>
      <c r="D427" s="18" t="s">
        <v>298</v>
      </c>
      <c r="E427" s="17"/>
      <c r="F427" s="17"/>
      <c r="G427" s="17" t="s">
        <v>561</v>
      </c>
      <c r="H427" s="17" t="s">
        <v>620</v>
      </c>
      <c r="I427" s="17"/>
      <c r="J427" s="17" t="s">
        <v>1970</v>
      </c>
      <c r="K427" s="17" t="s">
        <v>404</v>
      </c>
      <c r="L427" s="19"/>
      <c r="M427" s="17" t="s">
        <v>211</v>
      </c>
      <c r="N427" s="19"/>
      <c r="O427" s="17">
        <v>1</v>
      </c>
      <c r="P427" s="17"/>
      <c r="Q427" s="28"/>
      <c r="R427" s="17" t="s">
        <v>529</v>
      </c>
      <c r="S427" s="17"/>
      <c r="T427" s="35" t="s">
        <v>2019</v>
      </c>
      <c r="U427" s="28">
        <v>45992</v>
      </c>
      <c r="V427" s="17"/>
    </row>
    <row r="428" spans="1:22" ht="30" x14ac:dyDescent="0.25">
      <c r="A428" s="17">
        <f>SUBTOTAL(103,B$2:B428)*1</f>
        <v>427</v>
      </c>
      <c r="B428" s="62" t="s">
        <v>2535</v>
      </c>
      <c r="C428" s="18" t="s">
        <v>2002</v>
      </c>
      <c r="D428" s="18" t="s">
        <v>298</v>
      </c>
      <c r="E428" s="17"/>
      <c r="F428" s="17"/>
      <c r="G428" s="17" t="s">
        <v>136</v>
      </c>
      <c r="H428" s="17" t="s">
        <v>620</v>
      </c>
      <c r="I428" s="17"/>
      <c r="J428" s="17" t="s">
        <v>2003</v>
      </c>
      <c r="K428" s="17" t="s">
        <v>404</v>
      </c>
      <c r="L428" s="19"/>
      <c r="M428" s="17" t="s">
        <v>333</v>
      </c>
      <c r="N428" s="19"/>
      <c r="O428" s="17">
        <v>3</v>
      </c>
      <c r="P428" s="17"/>
      <c r="Q428" s="28"/>
      <c r="R428" s="17" t="s">
        <v>2594</v>
      </c>
      <c r="S428" s="17"/>
      <c r="T428" s="35" t="s">
        <v>2593</v>
      </c>
      <c r="U428" s="28">
        <v>46041</v>
      </c>
      <c r="V428" s="17"/>
    </row>
    <row r="429" spans="1:22" ht="30.5" customHeight="1" x14ac:dyDescent="0.25">
      <c r="A429" s="17">
        <f>SUBTOTAL(103,B$2:B429)*1</f>
        <v>428</v>
      </c>
      <c r="B429" s="17" t="s">
        <v>292</v>
      </c>
      <c r="C429" s="18" t="s">
        <v>2004</v>
      </c>
      <c r="D429" s="18" t="s">
        <v>1023</v>
      </c>
      <c r="E429" s="17"/>
      <c r="F429" s="17"/>
      <c r="G429" s="17" t="s">
        <v>561</v>
      </c>
      <c r="H429" s="17" t="s">
        <v>620</v>
      </c>
      <c r="I429" s="17"/>
      <c r="J429" s="17" t="s">
        <v>2005</v>
      </c>
      <c r="K429" s="17" t="s">
        <v>404</v>
      </c>
      <c r="L429" s="19"/>
      <c r="M429" s="17" t="s">
        <v>211</v>
      </c>
      <c r="N429" s="19"/>
      <c r="O429" s="17">
        <v>1</v>
      </c>
      <c r="P429" s="17"/>
      <c r="Q429" s="28"/>
      <c r="R429" s="17" t="s">
        <v>479</v>
      </c>
      <c r="S429" s="17"/>
      <c r="T429" s="35" t="s">
        <v>2022</v>
      </c>
      <c r="U429" s="28">
        <v>45992</v>
      </c>
      <c r="V429" s="17"/>
    </row>
    <row r="430" spans="1:22" ht="30.5" customHeight="1" x14ac:dyDescent="0.25">
      <c r="A430" s="17">
        <f>SUBTOTAL(103,B$2:B430)*1</f>
        <v>429</v>
      </c>
      <c r="B430" s="62" t="s">
        <v>2535</v>
      </c>
      <c r="C430" s="18" t="s">
        <v>2024</v>
      </c>
      <c r="D430" s="18" t="s">
        <v>325</v>
      </c>
      <c r="E430" s="17"/>
      <c r="F430" s="17"/>
      <c r="G430" s="17" t="s">
        <v>625</v>
      </c>
      <c r="H430" s="17" t="s">
        <v>619</v>
      </c>
      <c r="I430" s="17"/>
      <c r="J430" s="17" t="s">
        <v>2024</v>
      </c>
      <c r="K430" s="17" t="s">
        <v>404</v>
      </c>
      <c r="L430" s="19"/>
      <c r="M430" s="17" t="s">
        <v>333</v>
      </c>
      <c r="N430" s="19"/>
      <c r="O430" s="17">
        <v>5</v>
      </c>
      <c r="P430" s="17"/>
      <c r="Q430" s="28"/>
      <c r="R430" s="17" t="s">
        <v>474</v>
      </c>
      <c r="S430" s="17"/>
      <c r="T430" s="35" t="s">
        <v>2862</v>
      </c>
      <c r="U430" s="28">
        <v>46097</v>
      </c>
      <c r="V430" s="17" t="s">
        <v>2118</v>
      </c>
    </row>
    <row r="431" spans="1:22" ht="30" customHeight="1" x14ac:dyDescent="0.25">
      <c r="A431" s="17">
        <f>SUBTOTAL(103,B$2:B431)*1</f>
        <v>430</v>
      </c>
      <c r="B431" s="17" t="s">
        <v>292</v>
      </c>
      <c r="C431" s="18" t="s">
        <v>2026</v>
      </c>
      <c r="D431" s="18" t="s">
        <v>325</v>
      </c>
      <c r="E431" s="17"/>
      <c r="F431" s="17"/>
      <c r="G431" s="17" t="s">
        <v>136</v>
      </c>
      <c r="H431" s="17" t="s">
        <v>620</v>
      </c>
      <c r="I431" s="17"/>
      <c r="J431" s="17" t="s">
        <v>2026</v>
      </c>
      <c r="K431" s="17" t="s">
        <v>412</v>
      </c>
      <c r="L431" s="19"/>
      <c r="M431" s="17" t="s">
        <v>211</v>
      </c>
      <c r="N431" s="19"/>
      <c r="O431" s="17">
        <v>1</v>
      </c>
      <c r="P431" s="17"/>
      <c r="Q431" s="28"/>
      <c r="R431" s="17" t="s">
        <v>474</v>
      </c>
      <c r="S431" s="17"/>
      <c r="T431" s="35" t="s">
        <v>2061</v>
      </c>
      <c r="U431" s="28">
        <v>45999</v>
      </c>
      <c r="V431" s="17" t="s">
        <v>2180</v>
      </c>
    </row>
    <row r="432" spans="1:22" ht="30" customHeight="1" x14ac:dyDescent="0.25">
      <c r="A432" s="17">
        <f>SUBTOTAL(103,B$2:B432)*1</f>
        <v>431</v>
      </c>
      <c r="B432" s="17" t="s">
        <v>292</v>
      </c>
      <c r="C432" s="18" t="s">
        <v>2055</v>
      </c>
      <c r="D432" s="18" t="s">
        <v>325</v>
      </c>
      <c r="E432" s="17"/>
      <c r="F432" s="17"/>
      <c r="G432" s="17" t="s">
        <v>22</v>
      </c>
      <c r="H432" s="17" t="s">
        <v>618</v>
      </c>
      <c r="I432" s="17"/>
      <c r="J432" s="17" t="s">
        <v>2033</v>
      </c>
      <c r="K432" s="17" t="s">
        <v>404</v>
      </c>
      <c r="L432" s="19"/>
      <c r="M432" s="17" t="s">
        <v>211</v>
      </c>
      <c r="N432" s="19"/>
      <c r="O432" s="17">
        <v>1</v>
      </c>
      <c r="P432" s="17"/>
      <c r="Q432" s="28"/>
      <c r="R432" s="17" t="s">
        <v>474</v>
      </c>
      <c r="S432" s="17"/>
      <c r="T432" s="35" t="s">
        <v>2062</v>
      </c>
      <c r="U432" s="28">
        <v>45999</v>
      </c>
      <c r="V432" s="17" t="s">
        <v>2056</v>
      </c>
    </row>
    <row r="433" spans="1:22" ht="30" customHeight="1" x14ac:dyDescent="0.25">
      <c r="A433" s="17">
        <f>SUBTOTAL(103,B$2:B433)*1</f>
        <v>432</v>
      </c>
      <c r="B433" s="17" t="s">
        <v>292</v>
      </c>
      <c r="C433" s="18" t="s">
        <v>2123</v>
      </c>
      <c r="D433" s="18" t="s">
        <v>325</v>
      </c>
      <c r="E433" s="17"/>
      <c r="F433" s="17"/>
      <c r="G433" s="17" t="s">
        <v>2113</v>
      </c>
      <c r="H433" s="17" t="s">
        <v>2114</v>
      </c>
      <c r="I433" s="17"/>
      <c r="J433" s="17" t="s">
        <v>2124</v>
      </c>
      <c r="K433" s="17" t="s">
        <v>404</v>
      </c>
      <c r="L433" s="19"/>
      <c r="M433" s="17" t="s">
        <v>300</v>
      </c>
      <c r="N433" s="19"/>
      <c r="O433" s="17">
        <v>2</v>
      </c>
      <c r="P433" s="17"/>
      <c r="Q433" s="28"/>
      <c r="R433" s="17" t="s">
        <v>474</v>
      </c>
      <c r="S433" s="17"/>
      <c r="T433" s="35" t="s">
        <v>2150</v>
      </c>
      <c r="U433" s="28">
        <v>46013</v>
      </c>
      <c r="V433" s="17" t="s">
        <v>2125</v>
      </c>
    </row>
    <row r="434" spans="1:22" ht="30" customHeight="1" x14ac:dyDescent="0.25">
      <c r="A434" s="17">
        <f>SUBTOTAL(103,B$2:B434)*1</f>
        <v>433</v>
      </c>
      <c r="B434" s="17" t="s">
        <v>292</v>
      </c>
      <c r="C434" s="18" t="s">
        <v>2168</v>
      </c>
      <c r="D434" s="17" t="s">
        <v>540</v>
      </c>
      <c r="E434" s="17"/>
      <c r="F434" s="17"/>
      <c r="G434" s="17" t="s">
        <v>36</v>
      </c>
      <c r="H434" s="17" t="s">
        <v>620</v>
      </c>
      <c r="I434" s="17"/>
      <c r="J434" s="17" t="s">
        <v>2124</v>
      </c>
      <c r="K434" s="17" t="s">
        <v>2175</v>
      </c>
      <c r="L434" s="19"/>
      <c r="M434" s="17" t="s">
        <v>300</v>
      </c>
      <c r="N434" s="19"/>
      <c r="O434" s="17">
        <v>2</v>
      </c>
      <c r="P434" s="17"/>
      <c r="Q434" s="28"/>
      <c r="R434" s="17" t="s">
        <v>529</v>
      </c>
      <c r="S434" s="17"/>
      <c r="T434" s="20" t="s">
        <v>2457</v>
      </c>
      <c r="U434" s="28">
        <v>46020</v>
      </c>
      <c r="V434" s="17"/>
    </row>
    <row r="435" spans="1:22" ht="30" x14ac:dyDescent="0.25">
      <c r="A435" s="17">
        <f>SUBTOTAL(103,B$2:B435)*1</f>
        <v>434</v>
      </c>
      <c r="B435" s="17" t="s">
        <v>292</v>
      </c>
      <c r="C435" s="18" t="s">
        <v>2037</v>
      </c>
      <c r="D435" s="18" t="s">
        <v>540</v>
      </c>
      <c r="E435" s="17"/>
      <c r="F435" s="17"/>
      <c r="G435" s="17" t="s">
        <v>583</v>
      </c>
      <c r="H435" s="17" t="s">
        <v>618</v>
      </c>
      <c r="I435" s="17"/>
      <c r="J435" s="17" t="s">
        <v>2035</v>
      </c>
      <c r="K435" s="17" t="s">
        <v>404</v>
      </c>
      <c r="L435" s="19"/>
      <c r="M435" s="17" t="s">
        <v>211</v>
      </c>
      <c r="N435" s="19"/>
      <c r="O435" s="17">
        <v>1</v>
      </c>
      <c r="P435" s="17"/>
      <c r="Q435" s="28"/>
      <c r="R435" s="17" t="s">
        <v>479</v>
      </c>
      <c r="S435" s="17"/>
      <c r="T435" s="35" t="s">
        <v>2063</v>
      </c>
      <c r="U435" s="28">
        <v>45999</v>
      </c>
      <c r="V435" s="17"/>
    </row>
    <row r="436" spans="1:22" ht="30" x14ac:dyDescent="0.25">
      <c r="A436" s="17">
        <f>SUBTOTAL(103,B$2:B436)*1</f>
        <v>435</v>
      </c>
      <c r="B436" s="17" t="s">
        <v>292</v>
      </c>
      <c r="C436" s="18" t="s">
        <v>2039</v>
      </c>
      <c r="D436" s="18" t="s">
        <v>540</v>
      </c>
      <c r="E436" s="17"/>
      <c r="F436" s="17"/>
      <c r="G436" s="17" t="s">
        <v>48</v>
      </c>
      <c r="H436" s="17" t="s">
        <v>618</v>
      </c>
      <c r="I436" s="17"/>
      <c r="J436" s="17" t="s">
        <v>2060</v>
      </c>
      <c r="K436" s="17" t="s">
        <v>404</v>
      </c>
      <c r="L436" s="19"/>
      <c r="M436" s="17" t="s">
        <v>211</v>
      </c>
      <c r="N436" s="19"/>
      <c r="O436" s="17">
        <v>1</v>
      </c>
      <c r="P436" s="17"/>
      <c r="Q436" s="28"/>
      <c r="R436" s="17" t="s">
        <v>479</v>
      </c>
      <c r="S436" s="17"/>
      <c r="T436" s="35" t="s">
        <v>2064</v>
      </c>
      <c r="U436" s="28">
        <v>45999</v>
      </c>
      <c r="V436" s="17"/>
    </row>
    <row r="437" spans="1:22" ht="105" x14ac:dyDescent="0.25">
      <c r="A437" s="17">
        <f>SUBTOTAL(103,B$2:B437)*1</f>
        <v>436</v>
      </c>
      <c r="B437" s="17" t="s">
        <v>292</v>
      </c>
      <c r="C437" s="18" t="s">
        <v>2075</v>
      </c>
      <c r="D437" s="17" t="s">
        <v>298</v>
      </c>
      <c r="E437" s="17"/>
      <c r="F437" s="17"/>
      <c r="G437" s="17" t="s">
        <v>82</v>
      </c>
      <c r="H437" s="17" t="s">
        <v>619</v>
      </c>
      <c r="I437" s="17"/>
      <c r="J437" s="17" t="s">
        <v>2074</v>
      </c>
      <c r="K437" s="17" t="s">
        <v>404</v>
      </c>
      <c r="L437" s="19"/>
      <c r="M437" s="17" t="s">
        <v>211</v>
      </c>
      <c r="N437" s="19"/>
      <c r="O437" s="17">
        <v>1</v>
      </c>
      <c r="P437" s="17"/>
      <c r="Q437" s="28"/>
      <c r="R437" s="17" t="s">
        <v>468</v>
      </c>
      <c r="S437" s="17"/>
      <c r="T437" s="20" t="s">
        <v>2156</v>
      </c>
      <c r="U437" s="28">
        <v>46006</v>
      </c>
      <c r="V437" s="17"/>
    </row>
    <row r="438" spans="1:22" ht="30" customHeight="1" x14ac:dyDescent="0.25">
      <c r="A438" s="17">
        <f>SUBTOTAL(103,B$2:B438)*1</f>
        <v>437</v>
      </c>
      <c r="B438" s="62" t="s">
        <v>2535</v>
      </c>
      <c r="C438" s="18" t="s">
        <v>2089</v>
      </c>
      <c r="D438" s="17" t="s">
        <v>304</v>
      </c>
      <c r="E438" s="17"/>
      <c r="F438" s="17"/>
      <c r="G438" s="17" t="s">
        <v>2090</v>
      </c>
      <c r="H438" s="17" t="s">
        <v>923</v>
      </c>
      <c r="I438" s="17"/>
      <c r="J438" s="17" t="s">
        <v>2088</v>
      </c>
      <c r="K438" s="17" t="s">
        <v>748</v>
      </c>
      <c r="L438" s="19">
        <v>1000000</v>
      </c>
      <c r="M438" s="17" t="s">
        <v>345</v>
      </c>
      <c r="N438" s="19">
        <v>980000</v>
      </c>
      <c r="O438" s="17">
        <v>9</v>
      </c>
      <c r="P438" s="17"/>
      <c r="Q438" s="28"/>
      <c r="R438" s="17" t="s">
        <v>2786</v>
      </c>
      <c r="S438" s="17"/>
      <c r="T438" s="20" t="s">
        <v>2873</v>
      </c>
      <c r="U438" s="28">
        <v>46097</v>
      </c>
      <c r="V438" s="17"/>
    </row>
    <row r="439" spans="1:22" ht="30" customHeight="1" x14ac:dyDescent="0.25">
      <c r="A439" s="17">
        <f>SUBTOTAL(103,B$2:B439)*1</f>
        <v>438</v>
      </c>
      <c r="B439" s="17" t="s">
        <v>292</v>
      </c>
      <c r="C439" s="18" t="s">
        <v>2101</v>
      </c>
      <c r="D439" s="17" t="s">
        <v>298</v>
      </c>
      <c r="E439" s="17"/>
      <c r="F439" s="17"/>
      <c r="G439" s="17" t="s">
        <v>341</v>
      </c>
      <c r="H439" s="17" t="s">
        <v>923</v>
      </c>
      <c r="I439" s="17" t="s">
        <v>2100</v>
      </c>
      <c r="J439" s="17" t="s">
        <v>2099</v>
      </c>
      <c r="K439" s="17" t="s">
        <v>748</v>
      </c>
      <c r="L439" s="19"/>
      <c r="M439" s="17" t="s">
        <v>342</v>
      </c>
      <c r="N439" s="19"/>
      <c r="O439" s="17">
        <v>1</v>
      </c>
      <c r="P439" s="17"/>
      <c r="Q439" s="28"/>
      <c r="R439" s="17" t="s">
        <v>443</v>
      </c>
      <c r="S439" s="17"/>
      <c r="T439" s="20" t="s">
        <v>2155</v>
      </c>
      <c r="U439" s="28">
        <v>46006</v>
      </c>
      <c r="V439" s="17"/>
    </row>
    <row r="440" spans="1:22" ht="30" customHeight="1" x14ac:dyDescent="0.25">
      <c r="A440" s="17">
        <f>SUBTOTAL(103,B$2:B440)*1</f>
        <v>439</v>
      </c>
      <c r="B440" s="17" t="s">
        <v>292</v>
      </c>
      <c r="C440" s="18" t="s">
        <v>2153</v>
      </c>
      <c r="D440" s="17" t="s">
        <v>304</v>
      </c>
      <c r="E440" s="17"/>
      <c r="F440" s="17"/>
      <c r="G440" s="17" t="s">
        <v>22</v>
      </c>
      <c r="H440" s="17" t="s">
        <v>923</v>
      </c>
      <c r="I440" s="17"/>
      <c r="J440" s="17" t="s">
        <v>2154</v>
      </c>
      <c r="K440" s="17" t="s">
        <v>2152</v>
      </c>
      <c r="L440" s="19"/>
      <c r="M440" s="17" t="s">
        <v>342</v>
      </c>
      <c r="N440" s="19"/>
      <c r="O440" s="17">
        <v>1</v>
      </c>
      <c r="P440" s="17"/>
      <c r="Q440" s="28"/>
      <c r="R440" s="17" t="s">
        <v>443</v>
      </c>
      <c r="S440" s="17"/>
      <c r="T440" s="20" t="s">
        <v>2456</v>
      </c>
      <c r="U440" s="28">
        <v>46013</v>
      </c>
      <c r="V440" s="17"/>
    </row>
    <row r="441" spans="1:22" ht="30" customHeight="1" x14ac:dyDescent="0.25">
      <c r="A441" s="17">
        <f>SUBTOTAL(103,B$2:B441)*1</f>
        <v>440</v>
      </c>
      <c r="B441" s="17" t="s">
        <v>292</v>
      </c>
      <c r="C441" s="18" t="s">
        <v>2482</v>
      </c>
      <c r="D441" s="17" t="s">
        <v>304</v>
      </c>
      <c r="E441" s="17"/>
      <c r="F441" s="17"/>
      <c r="G441" s="17" t="s">
        <v>36</v>
      </c>
      <c r="H441" s="17" t="s">
        <v>620</v>
      </c>
      <c r="I441" s="17"/>
      <c r="J441" s="17" t="s">
        <v>2483</v>
      </c>
      <c r="K441" s="17" t="s">
        <v>404</v>
      </c>
      <c r="L441" s="19"/>
      <c r="M441" s="17" t="s">
        <v>342</v>
      </c>
      <c r="N441" s="19"/>
      <c r="O441" s="17">
        <v>1</v>
      </c>
      <c r="P441" s="17"/>
      <c r="Q441" s="28"/>
      <c r="R441" s="17" t="s">
        <v>474</v>
      </c>
      <c r="S441" s="17"/>
      <c r="T441" s="20" t="s">
        <v>2524</v>
      </c>
      <c r="U441" s="28">
        <v>46020</v>
      </c>
      <c r="V441" s="17"/>
    </row>
    <row r="442" spans="1:22" ht="30" customHeight="1" x14ac:dyDescent="0.25">
      <c r="A442" s="17">
        <f>SUBTOTAL(103,B$2:B442)*1</f>
        <v>441</v>
      </c>
      <c r="B442" s="17" t="s">
        <v>292</v>
      </c>
      <c r="C442" s="18" t="s">
        <v>2485</v>
      </c>
      <c r="D442" s="17" t="s">
        <v>325</v>
      </c>
      <c r="E442" s="17"/>
      <c r="F442" s="17"/>
      <c r="G442" s="17" t="s">
        <v>190</v>
      </c>
      <c r="H442" s="17" t="s">
        <v>618</v>
      </c>
      <c r="I442" s="17"/>
      <c r="J442" s="17" t="s">
        <v>2525</v>
      </c>
      <c r="K442" s="17" t="s">
        <v>404</v>
      </c>
      <c r="L442" s="19"/>
      <c r="M442" s="17" t="s">
        <v>342</v>
      </c>
      <c r="N442" s="19"/>
      <c r="O442" s="17">
        <v>1</v>
      </c>
      <c r="P442" s="17"/>
      <c r="Q442" s="28"/>
      <c r="R442" s="17" t="s">
        <v>474</v>
      </c>
      <c r="S442" s="17"/>
      <c r="T442" s="20" t="s">
        <v>2526</v>
      </c>
      <c r="U442" s="28">
        <v>46020</v>
      </c>
      <c r="V442" s="17"/>
    </row>
    <row r="443" spans="1:22" ht="30" customHeight="1" x14ac:dyDescent="0.25">
      <c r="A443" s="17">
        <f>SUBTOTAL(103,B$2:B443)*1</f>
        <v>442</v>
      </c>
      <c r="B443" s="62" t="s">
        <v>2535</v>
      </c>
      <c r="C443" s="18" t="s">
        <v>2495</v>
      </c>
      <c r="D443" s="17" t="s">
        <v>540</v>
      </c>
      <c r="E443" s="17"/>
      <c r="F443" s="17"/>
      <c r="G443" s="17" t="s">
        <v>583</v>
      </c>
      <c r="H443" s="17" t="s">
        <v>620</v>
      </c>
      <c r="I443" s="17"/>
      <c r="J443" s="17" t="s">
        <v>585</v>
      </c>
      <c r="K443" s="17" t="s">
        <v>404</v>
      </c>
      <c r="L443" s="19"/>
      <c r="M443" s="17" t="s">
        <v>300</v>
      </c>
      <c r="N443" s="19"/>
      <c r="O443" s="17">
        <v>3</v>
      </c>
      <c r="P443" s="17"/>
      <c r="Q443" s="28"/>
      <c r="R443" s="17" t="s">
        <v>479</v>
      </c>
      <c r="S443" s="17"/>
      <c r="T443" s="20" t="s">
        <v>2571</v>
      </c>
      <c r="U443" s="28">
        <v>46034</v>
      </c>
      <c r="V443" s="17"/>
    </row>
    <row r="444" spans="1:22" ht="30" customHeight="1" x14ac:dyDescent="0.25">
      <c r="A444" s="17">
        <f>SUBTOTAL(103,B$2:B444)*1</f>
        <v>443</v>
      </c>
      <c r="B444" s="17" t="s">
        <v>2535</v>
      </c>
      <c r="C444" s="17" t="s">
        <v>2518</v>
      </c>
      <c r="D444" s="17" t="s">
        <v>298</v>
      </c>
      <c r="E444" s="17"/>
      <c r="F444" s="17"/>
      <c r="G444" s="17" t="s">
        <v>2519</v>
      </c>
      <c r="H444" s="17" t="s">
        <v>2520</v>
      </c>
      <c r="I444" s="17"/>
      <c r="J444" s="17" t="s">
        <v>2518</v>
      </c>
      <c r="K444" s="17" t="s">
        <v>747</v>
      </c>
      <c r="L444" s="19"/>
      <c r="M444" s="17" t="s">
        <v>342</v>
      </c>
      <c r="N444" s="19"/>
      <c r="O444" s="17">
        <v>1</v>
      </c>
      <c r="P444" s="17"/>
      <c r="Q444" s="28"/>
      <c r="R444" s="17" t="s">
        <v>528</v>
      </c>
      <c r="S444" s="17"/>
      <c r="T444" s="20" t="s">
        <v>2540</v>
      </c>
      <c r="U444" s="28">
        <v>46026</v>
      </c>
      <c r="V444" s="17"/>
    </row>
    <row r="445" spans="1:22" ht="30" customHeight="1" x14ac:dyDescent="0.25">
      <c r="A445" s="17">
        <f>SUBTOTAL(103,B$2:B445)*1</f>
        <v>444</v>
      </c>
      <c r="B445" s="17" t="s">
        <v>2535</v>
      </c>
      <c r="C445" s="18" t="s">
        <v>2539</v>
      </c>
      <c r="D445" s="17" t="s">
        <v>325</v>
      </c>
      <c r="E445" s="17"/>
      <c r="F445" s="17"/>
      <c r="G445" s="17" t="s">
        <v>367</v>
      </c>
      <c r="H445" s="17" t="s">
        <v>1842</v>
      </c>
      <c r="I445" s="17"/>
      <c r="J445" s="17" t="s">
        <v>2537</v>
      </c>
      <c r="K445" s="17" t="s">
        <v>748</v>
      </c>
      <c r="L445" s="19"/>
      <c r="M445" s="17" t="s">
        <v>342</v>
      </c>
      <c r="N445" s="19"/>
      <c r="O445" s="17">
        <v>1</v>
      </c>
      <c r="P445" s="17"/>
      <c r="Q445" s="28"/>
      <c r="R445" s="17" t="s">
        <v>2538</v>
      </c>
      <c r="S445" s="17"/>
      <c r="T445" s="20" t="s">
        <v>2585</v>
      </c>
      <c r="U445" s="28">
        <v>46034</v>
      </c>
      <c r="V445" s="17"/>
    </row>
    <row r="446" spans="1:22" ht="30" customHeight="1" x14ac:dyDescent="0.25">
      <c r="A446" s="17">
        <f>SUBTOTAL(103,B$2:B446)*1</f>
        <v>445</v>
      </c>
      <c r="B446" s="17" t="s">
        <v>2535</v>
      </c>
      <c r="C446" s="18" t="s">
        <v>2545</v>
      </c>
      <c r="D446" s="17" t="s">
        <v>325</v>
      </c>
      <c r="E446" s="17"/>
      <c r="F446" s="17"/>
      <c r="G446" s="17" t="s">
        <v>2543</v>
      </c>
      <c r="H446" s="17" t="s">
        <v>2544</v>
      </c>
      <c r="I446" s="17"/>
      <c r="J446" s="17" t="s">
        <v>2542</v>
      </c>
      <c r="K446" s="17" t="s">
        <v>748</v>
      </c>
      <c r="L446" s="19"/>
      <c r="M446" s="17" t="s">
        <v>342</v>
      </c>
      <c r="N446" s="19"/>
      <c r="O446" s="17">
        <v>1</v>
      </c>
      <c r="P446" s="17"/>
      <c r="Q446" s="28"/>
      <c r="R446" s="17" t="s">
        <v>2538</v>
      </c>
      <c r="S446" s="17"/>
      <c r="T446" s="20" t="s">
        <v>2586</v>
      </c>
      <c r="U446" s="28">
        <v>46034</v>
      </c>
      <c r="V446" s="17"/>
    </row>
    <row r="447" spans="1:22" ht="30" x14ac:dyDescent="0.25">
      <c r="A447" s="17">
        <f>SUBTOTAL(103,B$2:B447)*1</f>
        <v>446</v>
      </c>
      <c r="B447" s="17" t="s">
        <v>2589</v>
      </c>
      <c r="C447" s="18" t="s">
        <v>2620</v>
      </c>
      <c r="D447" s="17" t="s">
        <v>298</v>
      </c>
      <c r="E447" s="17"/>
      <c r="F447" s="17"/>
      <c r="G447" s="17" t="s">
        <v>2618</v>
      </c>
      <c r="H447" s="17" t="s">
        <v>2619</v>
      </c>
      <c r="I447" s="17"/>
      <c r="J447" s="17" t="s">
        <v>2617</v>
      </c>
      <c r="K447" s="17" t="s">
        <v>748</v>
      </c>
      <c r="L447" s="19"/>
      <c r="M447" s="17" t="s">
        <v>300</v>
      </c>
      <c r="N447" s="19"/>
      <c r="O447" s="17">
        <v>3</v>
      </c>
      <c r="P447" s="17"/>
      <c r="Q447" s="28"/>
      <c r="R447" s="17" t="s">
        <v>535</v>
      </c>
      <c r="S447" s="17"/>
      <c r="T447" s="20" t="s">
        <v>2737</v>
      </c>
      <c r="U447" s="28">
        <v>46055</v>
      </c>
      <c r="V447" s="17"/>
    </row>
    <row r="448" spans="1:22" ht="30" customHeight="1" x14ac:dyDescent="0.25">
      <c r="A448" s="17">
        <f>SUBTOTAL(103,B$2:B448)*1</f>
        <v>447</v>
      </c>
      <c r="B448" s="17" t="s">
        <v>2589</v>
      </c>
      <c r="C448" s="18" t="s">
        <v>2622</v>
      </c>
      <c r="D448" s="17"/>
      <c r="E448" s="17"/>
      <c r="F448" s="17"/>
      <c r="G448" s="17" t="s">
        <v>2625</v>
      </c>
      <c r="H448" s="17" t="s">
        <v>2619</v>
      </c>
      <c r="I448" s="17"/>
      <c r="J448" s="17" t="s">
        <v>2623</v>
      </c>
      <c r="K448" s="17" t="s">
        <v>748</v>
      </c>
      <c r="L448" s="19"/>
      <c r="M448" s="17" t="s">
        <v>342</v>
      </c>
      <c r="N448" s="19"/>
      <c r="O448" s="17">
        <v>1</v>
      </c>
      <c r="P448" s="17"/>
      <c r="Q448" s="28"/>
      <c r="R448" s="17" t="s">
        <v>2624</v>
      </c>
      <c r="S448" s="17"/>
      <c r="T448" s="20" t="s">
        <v>2669</v>
      </c>
      <c r="U448" s="28">
        <v>46041</v>
      </c>
      <c r="V448" s="17"/>
    </row>
    <row r="449" spans="1:22" ht="45" x14ac:dyDescent="0.25">
      <c r="A449" s="17">
        <f>SUBTOTAL(103,B$2:B449)*1</f>
        <v>448</v>
      </c>
      <c r="B449" s="17" t="s">
        <v>2589</v>
      </c>
      <c r="C449" s="18" t="s">
        <v>2630</v>
      </c>
      <c r="D449" s="17" t="s">
        <v>1023</v>
      </c>
      <c r="E449" s="17"/>
      <c r="F449" s="17"/>
      <c r="G449" s="17"/>
      <c r="H449" s="17"/>
      <c r="I449" s="17"/>
      <c r="J449" s="17" t="s">
        <v>2630</v>
      </c>
      <c r="K449" s="17" t="s">
        <v>748</v>
      </c>
      <c r="L449" s="19"/>
      <c r="M449" s="17" t="s">
        <v>342</v>
      </c>
      <c r="N449" s="19"/>
      <c r="O449" s="17">
        <v>1</v>
      </c>
      <c r="P449" s="17"/>
      <c r="Q449" s="28"/>
      <c r="R449" s="17" t="s">
        <v>2631</v>
      </c>
      <c r="S449" s="17"/>
      <c r="T449" s="20" t="s">
        <v>2670</v>
      </c>
      <c r="U449" s="28">
        <v>46041</v>
      </c>
      <c r="V449" s="17"/>
    </row>
    <row r="450" spans="1:22" ht="75" x14ac:dyDescent="0.25">
      <c r="A450" s="17">
        <f>SUBTOTAL(103,B$2:B450)*1</f>
        <v>449</v>
      </c>
      <c r="B450" s="17" t="s">
        <v>2589</v>
      </c>
      <c r="C450" s="18" t="s">
        <v>2637</v>
      </c>
      <c r="D450" s="17" t="s">
        <v>1287</v>
      </c>
      <c r="E450" s="17"/>
      <c r="F450" s="17"/>
      <c r="G450" s="17" t="s">
        <v>2640</v>
      </c>
      <c r="H450" s="17" t="s">
        <v>2619</v>
      </c>
      <c r="I450" s="17"/>
      <c r="J450" s="17" t="s">
        <v>2637</v>
      </c>
      <c r="K450" s="17" t="s">
        <v>2638</v>
      </c>
      <c r="L450" s="19"/>
      <c r="M450" s="17" t="s">
        <v>300</v>
      </c>
      <c r="N450" s="19"/>
      <c r="O450" s="17">
        <v>2</v>
      </c>
      <c r="P450" s="17"/>
      <c r="Q450" s="28"/>
      <c r="R450" s="17" t="s">
        <v>2641</v>
      </c>
      <c r="S450" s="17"/>
      <c r="T450" s="20" t="s">
        <v>2656</v>
      </c>
      <c r="U450" s="28">
        <v>46048</v>
      </c>
      <c r="V450" s="17"/>
    </row>
    <row r="451" spans="1:22" ht="30" customHeight="1" x14ac:dyDescent="0.25">
      <c r="A451" s="17">
        <f>SUBTOTAL(103,B$2:B451)*1</f>
        <v>450</v>
      </c>
      <c r="B451" s="17" t="s">
        <v>2589</v>
      </c>
      <c r="C451" s="17" t="s">
        <v>2647</v>
      </c>
      <c r="D451" s="17" t="s">
        <v>1287</v>
      </c>
      <c r="E451" s="17"/>
      <c r="F451" s="17"/>
      <c r="G451" s="17" t="s">
        <v>306</v>
      </c>
      <c r="H451" s="17" t="s">
        <v>923</v>
      </c>
      <c r="I451" s="17"/>
      <c r="J451" s="17" t="s">
        <v>2647</v>
      </c>
      <c r="K451" s="17" t="s">
        <v>748</v>
      </c>
      <c r="L451" s="19"/>
      <c r="M451" s="17" t="s">
        <v>342</v>
      </c>
      <c r="N451" s="19"/>
      <c r="O451" s="17">
        <v>1</v>
      </c>
      <c r="P451" s="17"/>
      <c r="Q451" s="28"/>
      <c r="R451" s="17" t="s">
        <v>443</v>
      </c>
      <c r="S451" s="17"/>
      <c r="T451" s="20" t="s">
        <v>2671</v>
      </c>
      <c r="U451" s="28">
        <v>46041</v>
      </c>
      <c r="V451" s="17"/>
    </row>
    <row r="452" spans="1:22" ht="30" customHeight="1" x14ac:dyDescent="0.25">
      <c r="A452" s="17">
        <f>SUBTOTAL(103,B$2:B452)*1</f>
        <v>451</v>
      </c>
      <c r="B452" s="17" t="s">
        <v>2589</v>
      </c>
      <c r="C452" s="18" t="s">
        <v>2659</v>
      </c>
      <c r="D452" s="17" t="s">
        <v>314</v>
      </c>
      <c r="E452" s="17"/>
      <c r="F452" s="17"/>
      <c r="G452" s="17" t="s">
        <v>328</v>
      </c>
      <c r="H452" s="17" t="s">
        <v>927</v>
      </c>
      <c r="I452" s="17"/>
      <c r="J452" s="17" t="s">
        <v>2660</v>
      </c>
      <c r="K452" s="17" t="s">
        <v>747</v>
      </c>
      <c r="L452" s="19"/>
      <c r="M452" s="17" t="s">
        <v>342</v>
      </c>
      <c r="N452" s="19"/>
      <c r="O452" s="17">
        <v>1</v>
      </c>
      <c r="P452" s="17"/>
      <c r="Q452" s="28"/>
      <c r="R452" s="17" t="s">
        <v>534</v>
      </c>
      <c r="S452" s="17"/>
      <c r="T452" s="20" t="s">
        <v>2715</v>
      </c>
      <c r="U452" s="28">
        <v>46048</v>
      </c>
      <c r="V452" s="17"/>
    </row>
    <row r="453" spans="1:22" ht="30" customHeight="1" x14ac:dyDescent="0.25">
      <c r="A453" s="17">
        <f>SUBTOTAL(103,B$2:B453)*1</f>
        <v>452</v>
      </c>
      <c r="B453" s="17" t="s">
        <v>2589</v>
      </c>
      <c r="C453" s="18" t="s">
        <v>2677</v>
      </c>
      <c r="D453" s="17" t="s">
        <v>298</v>
      </c>
      <c r="E453" s="17"/>
      <c r="F453" s="17"/>
      <c r="G453" s="17" t="s">
        <v>2678</v>
      </c>
      <c r="H453" s="17" t="s">
        <v>2679</v>
      </c>
      <c r="I453" s="17"/>
      <c r="J453" s="17" t="s">
        <v>2676</v>
      </c>
      <c r="K453" s="17" t="s">
        <v>748</v>
      </c>
      <c r="L453" s="19"/>
      <c r="M453" s="17" t="s">
        <v>342</v>
      </c>
      <c r="N453" s="19"/>
      <c r="O453" s="17">
        <v>1</v>
      </c>
      <c r="P453" s="17"/>
      <c r="Q453" s="28"/>
      <c r="R453" s="17" t="s">
        <v>535</v>
      </c>
      <c r="S453" s="17"/>
      <c r="T453" s="20" t="s">
        <v>2716</v>
      </c>
      <c r="U453" s="28">
        <v>46048</v>
      </c>
      <c r="V453" s="17"/>
    </row>
    <row r="454" spans="1:22" ht="30" customHeight="1" x14ac:dyDescent="0.25">
      <c r="A454" s="17">
        <f>SUBTOTAL(103,B$2:B454)*1</f>
        <v>453</v>
      </c>
      <c r="B454" s="17" t="s">
        <v>2589</v>
      </c>
      <c r="C454" s="18" t="s">
        <v>2682</v>
      </c>
      <c r="D454" s="17" t="s">
        <v>298</v>
      </c>
      <c r="E454" s="17"/>
      <c r="F454" s="17"/>
      <c r="G454" s="17" t="s">
        <v>2683</v>
      </c>
      <c r="H454" s="17" t="s">
        <v>2679</v>
      </c>
      <c r="I454" s="17"/>
      <c r="J454" s="17" t="s">
        <v>2681</v>
      </c>
      <c r="K454" s="17" t="s">
        <v>748</v>
      </c>
      <c r="L454" s="19"/>
      <c r="M454" s="17" t="s">
        <v>342</v>
      </c>
      <c r="N454" s="19"/>
      <c r="O454" s="17">
        <v>1</v>
      </c>
      <c r="P454" s="17"/>
      <c r="Q454" s="28"/>
      <c r="R454" s="17" t="s">
        <v>535</v>
      </c>
      <c r="S454" s="17"/>
      <c r="T454" s="20" t="s">
        <v>2717</v>
      </c>
      <c r="U454" s="28">
        <v>46048</v>
      </c>
      <c r="V454" s="17"/>
    </row>
    <row r="455" spans="1:22" ht="45" x14ac:dyDescent="0.25">
      <c r="A455" s="17">
        <f>SUBTOTAL(103,B$2:B455)*1</f>
        <v>454</v>
      </c>
      <c r="B455" s="17" t="s">
        <v>2589</v>
      </c>
      <c r="C455" s="18" t="s">
        <v>2691</v>
      </c>
      <c r="D455" s="17" t="s">
        <v>304</v>
      </c>
      <c r="E455" s="17" t="s">
        <v>2688</v>
      </c>
      <c r="F455" s="17"/>
      <c r="G455" s="17" t="s">
        <v>2689</v>
      </c>
      <c r="H455" s="17" t="s">
        <v>2679</v>
      </c>
      <c r="I455" s="17"/>
      <c r="J455" s="17" t="s">
        <v>2690</v>
      </c>
      <c r="K455" s="17" t="s">
        <v>748</v>
      </c>
      <c r="L455" s="19"/>
      <c r="M455" s="17" t="s">
        <v>342</v>
      </c>
      <c r="N455" s="19"/>
      <c r="O455" s="17">
        <v>1</v>
      </c>
      <c r="P455" s="17"/>
      <c r="Q455" s="28"/>
      <c r="R455" s="17" t="s">
        <v>2687</v>
      </c>
      <c r="S455" s="17"/>
      <c r="T455" s="20" t="s">
        <v>2718</v>
      </c>
      <c r="U455" s="28">
        <v>46048</v>
      </c>
      <c r="V455" s="17"/>
    </row>
    <row r="456" spans="1:22" ht="30" customHeight="1" x14ac:dyDescent="0.25">
      <c r="A456" s="17">
        <f>SUBTOTAL(103,B$2:B456)*1</f>
        <v>455</v>
      </c>
      <c r="B456" s="17" t="s">
        <v>2589</v>
      </c>
      <c r="C456" s="18" t="s">
        <v>2697</v>
      </c>
      <c r="D456" s="17" t="s">
        <v>325</v>
      </c>
      <c r="E456" s="17"/>
      <c r="F456" s="17"/>
      <c r="G456" s="17" t="s">
        <v>2699</v>
      </c>
      <c r="H456" s="17" t="s">
        <v>2698</v>
      </c>
      <c r="I456" s="17"/>
      <c r="J456" s="17" t="s">
        <v>2696</v>
      </c>
      <c r="K456" s="17" t="s">
        <v>748</v>
      </c>
      <c r="L456" s="19"/>
      <c r="M456" s="17" t="s">
        <v>342</v>
      </c>
      <c r="N456" s="19"/>
      <c r="O456" s="17">
        <v>1</v>
      </c>
      <c r="P456" s="17"/>
      <c r="Q456" s="28"/>
      <c r="R456" s="17" t="s">
        <v>443</v>
      </c>
      <c r="S456" s="17"/>
      <c r="T456" s="20" t="s">
        <v>2719</v>
      </c>
      <c r="U456" s="28">
        <v>46048</v>
      </c>
      <c r="V456" s="17"/>
    </row>
    <row r="457" spans="1:22" ht="30" customHeight="1" x14ac:dyDescent="0.25">
      <c r="A457" s="17">
        <f>SUBTOTAL(103,B$2:B457)*1</f>
        <v>456</v>
      </c>
      <c r="B457" s="17" t="s">
        <v>2589</v>
      </c>
      <c r="C457" s="18" t="s">
        <v>2703</v>
      </c>
      <c r="D457" s="17" t="s">
        <v>1287</v>
      </c>
      <c r="E457" s="17"/>
      <c r="F457" s="17"/>
      <c r="G457" s="17" t="s">
        <v>367</v>
      </c>
      <c r="H457" s="17" t="s">
        <v>1842</v>
      </c>
      <c r="I457" s="17"/>
      <c r="J457" s="17" t="s">
        <v>2709</v>
      </c>
      <c r="K457" s="17" t="s">
        <v>748</v>
      </c>
      <c r="L457" s="19"/>
      <c r="M457" s="17" t="s">
        <v>300</v>
      </c>
      <c r="N457" s="19"/>
      <c r="O457" s="17">
        <v>2</v>
      </c>
      <c r="P457" s="17"/>
      <c r="Q457" s="28"/>
      <c r="R457" s="17" t="s">
        <v>528</v>
      </c>
      <c r="S457" s="17"/>
      <c r="T457" s="20" t="s">
        <v>2710</v>
      </c>
      <c r="U457" s="28">
        <v>46055</v>
      </c>
      <c r="V457" s="17"/>
    </row>
    <row r="458" spans="1:22" ht="30" customHeight="1" x14ac:dyDescent="0.25">
      <c r="A458" s="17">
        <f>SUBTOTAL(103,B$2:B458)*1</f>
        <v>457</v>
      </c>
      <c r="B458" s="17" t="s">
        <v>2589</v>
      </c>
      <c r="C458" s="18" t="s">
        <v>2885</v>
      </c>
      <c r="D458" s="17"/>
      <c r="E458" s="17"/>
      <c r="F458" s="17"/>
      <c r="G458" s="17" t="s">
        <v>2720</v>
      </c>
      <c r="H458" s="17" t="s">
        <v>2721</v>
      </c>
      <c r="I458" s="17"/>
      <c r="J458" s="17" t="s">
        <v>2722</v>
      </c>
      <c r="K458" s="17" t="s">
        <v>748</v>
      </c>
      <c r="L458" s="19"/>
      <c r="M458" s="17" t="s">
        <v>342</v>
      </c>
      <c r="N458" s="19"/>
      <c r="O458" s="17">
        <v>1</v>
      </c>
      <c r="P458" s="17"/>
      <c r="Q458" s="28"/>
      <c r="R458" s="17" t="s">
        <v>443</v>
      </c>
      <c r="S458" s="17"/>
      <c r="T458" s="20" t="s">
        <v>2755</v>
      </c>
      <c r="U458" s="28">
        <v>46055</v>
      </c>
      <c r="V458" s="17" t="s">
        <v>2884</v>
      </c>
    </row>
    <row r="459" spans="1:22" ht="30" customHeight="1" x14ac:dyDescent="0.25">
      <c r="A459" s="17">
        <f>SUBTOTAL(103,B$2:B459)*1</f>
        <v>458</v>
      </c>
      <c r="B459" s="17" t="s">
        <v>2589</v>
      </c>
      <c r="C459" s="18" t="s">
        <v>2724</v>
      </c>
      <c r="D459" s="17" t="s">
        <v>325</v>
      </c>
      <c r="E459" s="17"/>
      <c r="F459" s="17"/>
      <c r="G459" s="17" t="s">
        <v>367</v>
      </c>
      <c r="H459" s="17" t="s">
        <v>1842</v>
      </c>
      <c r="I459" s="17"/>
      <c r="J459" s="17" t="s">
        <v>2725</v>
      </c>
      <c r="K459" s="17" t="s">
        <v>2726</v>
      </c>
      <c r="L459" s="19"/>
      <c r="M459" s="17" t="s">
        <v>342</v>
      </c>
      <c r="N459" s="19"/>
      <c r="O459" s="17">
        <v>1</v>
      </c>
      <c r="P459" s="17"/>
      <c r="Q459" s="28"/>
      <c r="R459" s="17" t="s">
        <v>443</v>
      </c>
      <c r="S459" s="17"/>
      <c r="T459" s="20" t="s">
        <v>2756</v>
      </c>
      <c r="U459" s="28">
        <v>46055</v>
      </c>
      <c r="V459" s="17"/>
    </row>
    <row r="460" spans="1:22" ht="30" x14ac:dyDescent="0.25">
      <c r="A460" s="17">
        <f>SUBTOTAL(103,B$2:B460)*1</f>
        <v>459</v>
      </c>
      <c r="B460" s="17" t="s">
        <v>2589</v>
      </c>
      <c r="C460" s="18" t="s">
        <v>2729</v>
      </c>
      <c r="D460" s="17"/>
      <c r="E460" s="17"/>
      <c r="F460" s="17"/>
      <c r="G460" s="17" t="s">
        <v>344</v>
      </c>
      <c r="H460" s="17" t="s">
        <v>923</v>
      </c>
      <c r="I460" s="17"/>
      <c r="J460" s="17" t="s">
        <v>2728</v>
      </c>
      <c r="K460" s="17" t="s">
        <v>2730</v>
      </c>
      <c r="L460" s="19"/>
      <c r="M460" s="17" t="s">
        <v>342</v>
      </c>
      <c r="N460" s="19"/>
      <c r="O460" s="17">
        <v>1</v>
      </c>
      <c r="P460" s="17"/>
      <c r="Q460" s="28"/>
      <c r="R460" s="17" t="s">
        <v>2731</v>
      </c>
      <c r="S460" s="17"/>
      <c r="T460" s="20" t="s">
        <v>2757</v>
      </c>
      <c r="U460" s="28">
        <v>46055</v>
      </c>
      <c r="V460" s="17"/>
    </row>
    <row r="461" spans="1:22" ht="30" x14ac:dyDescent="0.25">
      <c r="A461" s="17">
        <f>SUBTOTAL(103,B$2:B461)*1</f>
        <v>460</v>
      </c>
      <c r="B461" s="17" t="s">
        <v>2589</v>
      </c>
      <c r="C461" s="18" t="s">
        <v>2740</v>
      </c>
      <c r="D461" s="17" t="s">
        <v>298</v>
      </c>
      <c r="E461" s="17"/>
      <c r="F461" s="17"/>
      <c r="G461" s="17" t="s">
        <v>2720</v>
      </c>
      <c r="H461" s="17" t="s">
        <v>2721</v>
      </c>
      <c r="I461" s="17"/>
      <c r="J461" s="17" t="s">
        <v>2739</v>
      </c>
      <c r="K461" s="17" t="s">
        <v>2730</v>
      </c>
      <c r="L461" s="19"/>
      <c r="M461" s="17" t="s">
        <v>300</v>
      </c>
      <c r="N461" s="19"/>
      <c r="O461" s="17">
        <v>2</v>
      </c>
      <c r="P461" s="17"/>
      <c r="Q461" s="28"/>
      <c r="R461" s="17" t="s">
        <v>535</v>
      </c>
      <c r="S461" s="17"/>
      <c r="T461" s="20" t="s">
        <v>2753</v>
      </c>
      <c r="U461" s="28">
        <v>46062</v>
      </c>
      <c r="V461" s="17"/>
    </row>
    <row r="462" spans="1:22" ht="30" x14ac:dyDescent="0.25">
      <c r="A462" s="17">
        <f>SUBTOTAL(103,B$2:B462)*1</f>
        <v>461</v>
      </c>
      <c r="B462" s="17" t="s">
        <v>2589</v>
      </c>
      <c r="C462" s="18" t="s">
        <v>2744</v>
      </c>
      <c r="D462" s="17" t="s">
        <v>540</v>
      </c>
      <c r="E462" s="17"/>
      <c r="F462" s="17"/>
      <c r="G462" s="17" t="s">
        <v>2764</v>
      </c>
      <c r="H462" s="17" t="s">
        <v>2763</v>
      </c>
      <c r="I462" s="17"/>
      <c r="J462" s="17" t="s">
        <v>2742</v>
      </c>
      <c r="K462" s="17" t="s">
        <v>2730</v>
      </c>
      <c r="L462" s="19"/>
      <c r="M462" s="17" t="s">
        <v>300</v>
      </c>
      <c r="N462" s="19"/>
      <c r="O462" s="17">
        <v>2</v>
      </c>
      <c r="P462" s="17"/>
      <c r="Q462" s="28"/>
      <c r="R462" s="17" t="s">
        <v>2743</v>
      </c>
      <c r="S462" s="17"/>
      <c r="T462" s="20" t="s">
        <v>2801</v>
      </c>
      <c r="U462" s="28">
        <v>46090</v>
      </c>
      <c r="V462" s="17"/>
    </row>
    <row r="463" spans="1:22" ht="30" x14ac:dyDescent="0.25">
      <c r="A463" s="17">
        <f>SUBTOTAL(103,B$2:B463)*1</f>
        <v>462</v>
      </c>
      <c r="B463" s="17" t="s">
        <v>2589</v>
      </c>
      <c r="C463" s="18" t="s">
        <v>2758</v>
      </c>
      <c r="D463" s="17"/>
      <c r="E463" s="17"/>
      <c r="F463" s="17"/>
      <c r="G463" s="17" t="s">
        <v>2761</v>
      </c>
      <c r="H463" s="17" t="s">
        <v>2762</v>
      </c>
      <c r="I463" s="17"/>
      <c r="J463" s="17" t="s">
        <v>2759</v>
      </c>
      <c r="K463" s="17" t="s">
        <v>2760</v>
      </c>
      <c r="L463" s="19"/>
      <c r="M463" s="17" t="s">
        <v>342</v>
      </c>
      <c r="N463" s="19"/>
      <c r="O463" s="17">
        <v>1</v>
      </c>
      <c r="P463" s="17"/>
      <c r="Q463" s="28"/>
      <c r="R463" s="17" t="s">
        <v>2765</v>
      </c>
      <c r="S463" s="17"/>
      <c r="T463" s="20" t="s">
        <v>2788</v>
      </c>
      <c r="U463" s="61">
        <v>46062</v>
      </c>
      <c r="V463" s="17"/>
    </row>
    <row r="464" spans="1:22" ht="30" customHeight="1" x14ac:dyDescent="0.25">
      <c r="A464" s="17">
        <f>SUBTOTAL(103,B$2:B464)*1</f>
        <v>463</v>
      </c>
      <c r="B464" s="17" t="s">
        <v>2589</v>
      </c>
      <c r="C464" s="18" t="s">
        <v>2770</v>
      </c>
      <c r="D464" s="17" t="s">
        <v>540</v>
      </c>
      <c r="E464" s="17"/>
      <c r="F464" s="17"/>
      <c r="G464" s="17" t="s">
        <v>2769</v>
      </c>
      <c r="H464" s="17" t="s">
        <v>2763</v>
      </c>
      <c r="I464" s="17"/>
      <c r="J464" s="17" t="s">
        <v>2768</v>
      </c>
      <c r="K464" s="17" t="s">
        <v>748</v>
      </c>
      <c r="L464" s="19"/>
      <c r="M464" s="17" t="s">
        <v>342</v>
      </c>
      <c r="N464" s="19"/>
      <c r="O464" s="17">
        <v>1</v>
      </c>
      <c r="P464" s="17"/>
      <c r="Q464" s="28"/>
      <c r="R464" s="17" t="s">
        <v>2771</v>
      </c>
      <c r="S464" s="17"/>
      <c r="T464" s="20" t="s">
        <v>2789</v>
      </c>
      <c r="U464" s="61">
        <v>46062</v>
      </c>
      <c r="V464" s="17"/>
    </row>
    <row r="465" spans="1:22" ht="30" customHeight="1" x14ac:dyDescent="0.25">
      <c r="A465" s="17">
        <f>SUBTOTAL(103,B$2:B465)*1</f>
        <v>464</v>
      </c>
      <c r="B465" s="17" t="s">
        <v>2589</v>
      </c>
      <c r="C465" s="18" t="s">
        <v>2776</v>
      </c>
      <c r="D465" s="17" t="s">
        <v>1287</v>
      </c>
      <c r="E465" s="17"/>
      <c r="F465" s="17"/>
      <c r="G465" s="17" t="s">
        <v>2769</v>
      </c>
      <c r="H465" s="17" t="s">
        <v>2763</v>
      </c>
      <c r="I465" s="17"/>
      <c r="J465" s="17" t="s">
        <v>2775</v>
      </c>
      <c r="K465" s="17" t="s">
        <v>405</v>
      </c>
      <c r="L465" s="19"/>
      <c r="M465" s="17" t="s">
        <v>333</v>
      </c>
      <c r="N465" s="19"/>
      <c r="O465" s="17">
        <v>3</v>
      </c>
      <c r="P465" s="17"/>
      <c r="Q465" s="28"/>
      <c r="R465" s="17" t="s">
        <v>2777</v>
      </c>
      <c r="S465" s="17"/>
      <c r="T465" s="20" t="s">
        <v>2871</v>
      </c>
      <c r="U465" s="61">
        <v>46097</v>
      </c>
      <c r="V465" s="17"/>
    </row>
    <row r="466" spans="1:22" ht="30" customHeight="1" x14ac:dyDescent="0.25">
      <c r="A466" s="17">
        <f>SUBTOTAL(103,B$2:B466)*1</f>
        <v>465</v>
      </c>
      <c r="B466" s="17" t="s">
        <v>2589</v>
      </c>
      <c r="C466" s="18" t="s">
        <v>2782</v>
      </c>
      <c r="D466" s="17" t="s">
        <v>304</v>
      </c>
      <c r="E466" s="17"/>
      <c r="F466" s="17"/>
      <c r="G466" s="17" t="s">
        <v>2779</v>
      </c>
      <c r="H466" s="17" t="s">
        <v>2762</v>
      </c>
      <c r="I466" s="17"/>
      <c r="J466" s="17" t="s">
        <v>2778</v>
      </c>
      <c r="K466" s="17" t="s">
        <v>748</v>
      </c>
      <c r="L466" s="19"/>
      <c r="M466" s="17" t="s">
        <v>342</v>
      </c>
      <c r="N466" s="19"/>
      <c r="O466" s="17">
        <v>1</v>
      </c>
      <c r="P466" s="17"/>
      <c r="Q466" s="28"/>
      <c r="R466" s="17" t="s">
        <v>2777</v>
      </c>
      <c r="S466" s="17"/>
      <c r="T466" s="20" t="s">
        <v>2790</v>
      </c>
      <c r="U466" s="61">
        <v>46062</v>
      </c>
      <c r="V466" s="17"/>
    </row>
    <row r="467" spans="1:22" ht="45" x14ac:dyDescent="0.25">
      <c r="A467" s="17">
        <f>SUBTOTAL(103,B$2:B467)*1</f>
        <v>466</v>
      </c>
      <c r="B467" s="17" t="s">
        <v>2589</v>
      </c>
      <c r="C467" s="18" t="s">
        <v>2806</v>
      </c>
      <c r="D467" s="17" t="s">
        <v>540</v>
      </c>
      <c r="E467" s="17"/>
      <c r="F467" s="17"/>
      <c r="G467" s="17" t="s">
        <v>2804</v>
      </c>
      <c r="H467" s="17" t="s">
        <v>2805</v>
      </c>
      <c r="I467" s="17"/>
      <c r="J467" s="18" t="s">
        <v>2803</v>
      </c>
      <c r="K467" s="17" t="s">
        <v>748</v>
      </c>
      <c r="L467" s="19"/>
      <c r="M467" s="17" t="s">
        <v>333</v>
      </c>
      <c r="N467" s="19"/>
      <c r="O467" s="17">
        <v>3</v>
      </c>
      <c r="P467" s="17"/>
      <c r="Q467" s="28"/>
      <c r="R467" s="17" t="s">
        <v>536</v>
      </c>
      <c r="S467" s="17"/>
      <c r="T467" s="20" t="s">
        <v>2833</v>
      </c>
      <c r="U467" s="61">
        <v>46097</v>
      </c>
      <c r="V467" s="17"/>
    </row>
    <row r="468" spans="1:22" ht="30" customHeight="1" x14ac:dyDescent="0.25">
      <c r="A468" s="17">
        <f>SUBTOTAL(103,B$2:B468)*1</f>
        <v>467</v>
      </c>
      <c r="B468" s="17" t="s">
        <v>2589</v>
      </c>
      <c r="C468" s="18" t="s">
        <v>2813</v>
      </c>
      <c r="D468" s="17" t="s">
        <v>540</v>
      </c>
      <c r="E468" s="17"/>
      <c r="F468" s="17"/>
      <c r="G468" s="17" t="s">
        <v>2815</v>
      </c>
      <c r="H468" s="17" t="s">
        <v>2805</v>
      </c>
      <c r="I468" s="17"/>
      <c r="J468" s="17" t="s">
        <v>2812</v>
      </c>
      <c r="K468" s="17" t="s">
        <v>748</v>
      </c>
      <c r="L468" s="19"/>
      <c r="M468" s="17" t="s">
        <v>342</v>
      </c>
      <c r="N468" s="19"/>
      <c r="O468" s="17">
        <v>1</v>
      </c>
      <c r="P468" s="17"/>
      <c r="Q468" s="28"/>
      <c r="R468" s="17" t="s">
        <v>528</v>
      </c>
      <c r="S468" s="17"/>
      <c r="T468" s="20" t="s">
        <v>2826</v>
      </c>
      <c r="U468" s="61">
        <v>46090</v>
      </c>
      <c r="V468" s="17"/>
    </row>
    <row r="469" spans="1:22" ht="45" x14ac:dyDescent="0.25">
      <c r="A469" s="17">
        <f>SUBTOTAL(103,B$2:B469)*1</f>
        <v>468</v>
      </c>
      <c r="B469" s="17" t="s">
        <v>2589</v>
      </c>
      <c r="C469" s="18" t="s">
        <v>2825</v>
      </c>
      <c r="D469" s="17" t="s">
        <v>1660</v>
      </c>
      <c r="E469" s="17"/>
      <c r="F469" s="17"/>
      <c r="G469" s="17" t="s">
        <v>375</v>
      </c>
      <c r="H469" s="17" t="s">
        <v>927</v>
      </c>
      <c r="I469" s="17"/>
      <c r="J469" s="17" t="s">
        <v>2823</v>
      </c>
      <c r="K469" s="17" t="s">
        <v>747</v>
      </c>
      <c r="L469" s="19"/>
      <c r="M469" s="17" t="s">
        <v>300</v>
      </c>
      <c r="N469" s="19"/>
      <c r="O469" s="17">
        <v>2</v>
      </c>
      <c r="P469" s="17"/>
      <c r="Q469" s="28"/>
      <c r="R469" s="17" t="s">
        <v>2824</v>
      </c>
      <c r="S469" s="17"/>
      <c r="T469" s="20" t="s">
        <v>2887</v>
      </c>
      <c r="U469" s="61">
        <v>46097</v>
      </c>
      <c r="V469" s="17"/>
    </row>
    <row r="470" spans="1:22" ht="30" x14ac:dyDescent="0.25">
      <c r="A470" s="17">
        <f>SUBTOTAL(103,B$2:B470)*1</f>
        <v>469</v>
      </c>
      <c r="B470" s="17" t="s">
        <v>2589</v>
      </c>
      <c r="C470" s="18" t="s">
        <v>2838</v>
      </c>
      <c r="D470" s="17" t="s">
        <v>298</v>
      </c>
      <c r="E470" s="17"/>
      <c r="F470" s="17"/>
      <c r="G470" s="17" t="s">
        <v>2836</v>
      </c>
      <c r="H470" s="17" t="s">
        <v>2837</v>
      </c>
      <c r="I470" s="17"/>
      <c r="J470" s="17" t="s">
        <v>2835</v>
      </c>
      <c r="K470" s="17" t="s">
        <v>748</v>
      </c>
      <c r="L470" s="19"/>
      <c r="M470" s="17" t="s">
        <v>300</v>
      </c>
      <c r="N470" s="19"/>
      <c r="O470" s="17">
        <v>2</v>
      </c>
      <c r="P470" s="17"/>
      <c r="Q470" s="28"/>
      <c r="R470" s="17" t="s">
        <v>536</v>
      </c>
      <c r="S470" s="17"/>
      <c r="T470" s="20" t="s">
        <v>2963</v>
      </c>
      <c r="U470" s="79">
        <v>46104</v>
      </c>
      <c r="V470" s="17"/>
    </row>
    <row r="471" spans="1:22" ht="30" customHeight="1" x14ac:dyDescent="0.25">
      <c r="A471" s="17">
        <f>SUBTOTAL(103,B$2:B471)*1</f>
        <v>470</v>
      </c>
      <c r="B471" s="17" t="s">
        <v>2589</v>
      </c>
      <c r="C471" s="18" t="s">
        <v>2847</v>
      </c>
      <c r="D471" s="17" t="s">
        <v>298</v>
      </c>
      <c r="E471" s="17"/>
      <c r="F471" s="17"/>
      <c r="G471" s="17" t="s">
        <v>2846</v>
      </c>
      <c r="H471" s="17" t="s">
        <v>2837</v>
      </c>
      <c r="I471" s="17"/>
      <c r="J471" s="17" t="s">
        <v>2845</v>
      </c>
      <c r="K471" s="17" t="s">
        <v>748</v>
      </c>
      <c r="L471" s="19"/>
      <c r="M471" s="17" t="s">
        <v>300</v>
      </c>
      <c r="N471" s="19"/>
      <c r="O471" s="17">
        <v>2</v>
      </c>
      <c r="P471" s="17"/>
      <c r="Q471" s="28"/>
      <c r="R471" s="17" t="s">
        <v>386</v>
      </c>
      <c r="S471" s="25"/>
      <c r="T471" s="20" t="s">
        <v>2995</v>
      </c>
      <c r="U471" s="79">
        <v>46104</v>
      </c>
      <c r="V471" s="17"/>
    </row>
    <row r="472" spans="1:22" ht="30" customHeight="1" x14ac:dyDescent="0.25">
      <c r="A472" s="17">
        <f>SUBTOTAL(103,B$2:B472)*1</f>
        <v>471</v>
      </c>
      <c r="B472" s="17" t="s">
        <v>2589</v>
      </c>
      <c r="C472" s="18" t="s">
        <v>2858</v>
      </c>
      <c r="D472" s="17" t="s">
        <v>13</v>
      </c>
      <c r="E472" s="17" t="s">
        <v>2857</v>
      </c>
      <c r="F472" s="17"/>
      <c r="G472" s="17" t="s">
        <v>44</v>
      </c>
      <c r="H472" s="17" t="s">
        <v>618</v>
      </c>
      <c r="I472" s="17" t="s">
        <v>453</v>
      </c>
      <c r="J472" s="17" t="s">
        <v>43</v>
      </c>
      <c r="K472" s="17" t="s">
        <v>404</v>
      </c>
      <c r="L472" s="19"/>
      <c r="M472" s="17" t="s">
        <v>300</v>
      </c>
      <c r="N472" s="19"/>
      <c r="O472" s="17">
        <v>2</v>
      </c>
      <c r="P472" s="17"/>
      <c r="Q472" s="28"/>
      <c r="R472" s="17" t="s">
        <v>482</v>
      </c>
      <c r="S472" s="17"/>
      <c r="T472" s="20" t="s">
        <v>2891</v>
      </c>
      <c r="U472" s="61">
        <v>46097</v>
      </c>
      <c r="V472" s="17"/>
    </row>
    <row r="473" spans="1:22" ht="30" customHeight="1" x14ac:dyDescent="0.25">
      <c r="A473" s="17">
        <f>SUBTOTAL(103,B$2:B473)*1</f>
        <v>472</v>
      </c>
      <c r="B473" s="17" t="s">
        <v>2589</v>
      </c>
      <c r="C473" s="18" t="s">
        <v>2859</v>
      </c>
      <c r="D473" s="17" t="s">
        <v>13</v>
      </c>
      <c r="E473" s="17" t="s">
        <v>2857</v>
      </c>
      <c r="F473" s="17"/>
      <c r="G473" s="17" t="s">
        <v>44</v>
      </c>
      <c r="H473" s="17" t="s">
        <v>618</v>
      </c>
      <c r="I473" s="17" t="s">
        <v>453</v>
      </c>
      <c r="J473" s="17" t="s">
        <v>2856</v>
      </c>
      <c r="K473" s="17" t="s">
        <v>404</v>
      </c>
      <c r="L473" s="19"/>
      <c r="M473" s="17" t="s">
        <v>300</v>
      </c>
      <c r="N473" s="19"/>
      <c r="O473" s="17">
        <v>2</v>
      </c>
      <c r="P473" s="17"/>
      <c r="Q473" s="28"/>
      <c r="R473" s="17" t="s">
        <v>474</v>
      </c>
      <c r="S473" s="17"/>
      <c r="T473" s="20" t="s">
        <v>2891</v>
      </c>
      <c r="U473" s="61">
        <v>46097</v>
      </c>
      <c r="V473" s="17"/>
    </row>
    <row r="474" spans="1:22" ht="30" customHeight="1" x14ac:dyDescent="0.25">
      <c r="A474" s="17">
        <f>SUBTOTAL(103,B$2:B474)*1</f>
        <v>473</v>
      </c>
      <c r="B474" s="17" t="s">
        <v>2589</v>
      </c>
      <c r="C474" s="18" t="s">
        <v>2894</v>
      </c>
      <c r="D474" s="17" t="s">
        <v>90</v>
      </c>
      <c r="E474" s="17"/>
      <c r="F474" s="17"/>
      <c r="G474" s="17" t="s">
        <v>136</v>
      </c>
      <c r="H474" s="17" t="s">
        <v>620</v>
      </c>
      <c r="I474" s="17"/>
      <c r="J474" s="17" t="s">
        <v>2864</v>
      </c>
      <c r="K474" s="17" t="s">
        <v>404</v>
      </c>
      <c r="L474" s="19"/>
      <c r="M474" s="17" t="s">
        <v>300</v>
      </c>
      <c r="N474" s="19"/>
      <c r="O474" s="17">
        <v>2</v>
      </c>
      <c r="P474" s="17"/>
      <c r="Q474" s="28"/>
      <c r="R474" s="17" t="s">
        <v>474</v>
      </c>
      <c r="S474" s="17"/>
      <c r="T474" s="20" t="s">
        <v>2893</v>
      </c>
      <c r="U474" s="61">
        <v>46097</v>
      </c>
      <c r="V474" s="17" t="s">
        <v>2886</v>
      </c>
    </row>
    <row r="475" spans="1:22" ht="30" customHeight="1" x14ac:dyDescent="0.25">
      <c r="A475" s="17">
        <f>SUBTOTAL(103,B$2:B475)*1</f>
        <v>474</v>
      </c>
      <c r="B475" s="17" t="s">
        <v>2589</v>
      </c>
      <c r="C475" s="18" t="s">
        <v>2867</v>
      </c>
      <c r="D475" s="17" t="s">
        <v>2863</v>
      </c>
      <c r="E475" s="17"/>
      <c r="F475" s="17"/>
      <c r="G475" s="17" t="s">
        <v>621</v>
      </c>
      <c r="H475" s="17" t="s">
        <v>2837</v>
      </c>
      <c r="I475" s="17"/>
      <c r="J475" s="18" t="s">
        <v>2866</v>
      </c>
      <c r="K475" s="17" t="s">
        <v>404</v>
      </c>
      <c r="L475" s="19"/>
      <c r="M475" s="17" t="s">
        <v>300</v>
      </c>
      <c r="N475" s="19"/>
      <c r="O475" s="17">
        <v>2</v>
      </c>
      <c r="P475" s="17"/>
      <c r="Q475" s="28"/>
      <c r="R475" s="17" t="s">
        <v>2830</v>
      </c>
      <c r="S475" s="25"/>
      <c r="T475" s="20" t="s">
        <v>2888</v>
      </c>
      <c r="U475" s="61">
        <v>46097</v>
      </c>
      <c r="V475" s="17"/>
    </row>
    <row r="476" spans="1:22" s="80" customFormat="1" ht="30" customHeight="1" x14ac:dyDescent="0.25">
      <c r="A476" s="17">
        <f>SUBTOTAL(103,B$2:B476)*1</f>
        <v>475</v>
      </c>
      <c r="B476" s="74" t="s">
        <v>2589</v>
      </c>
      <c r="C476" s="75" t="s">
        <v>2881</v>
      </c>
      <c r="D476" s="74" t="s">
        <v>2863</v>
      </c>
      <c r="E476" s="74"/>
      <c r="F476" s="74"/>
      <c r="G476" s="74" t="s">
        <v>94</v>
      </c>
      <c r="H476" s="74" t="s">
        <v>2882</v>
      </c>
      <c r="I476" s="74"/>
      <c r="J476" s="75" t="s">
        <v>2881</v>
      </c>
      <c r="K476" s="74" t="s">
        <v>405</v>
      </c>
      <c r="L476" s="76"/>
      <c r="M476" s="74" t="s">
        <v>211</v>
      </c>
      <c r="N476" s="76"/>
      <c r="O476" s="74">
        <v>1</v>
      </c>
      <c r="P476" s="74"/>
      <c r="Q476" s="77"/>
      <c r="R476" s="74" t="s">
        <v>474</v>
      </c>
      <c r="S476" s="74"/>
      <c r="T476" s="78" t="s">
        <v>2915</v>
      </c>
      <c r="U476" s="79">
        <v>46097</v>
      </c>
      <c r="V476" s="74"/>
    </row>
    <row r="477" spans="1:22" s="80" customFormat="1" ht="30" customHeight="1" x14ac:dyDescent="0.25">
      <c r="A477" s="17">
        <f>SUBTOTAL(103,B$2:B477)*1</f>
        <v>476</v>
      </c>
      <c r="B477" s="74" t="s">
        <v>2589</v>
      </c>
      <c r="C477" s="75" t="s">
        <v>2883</v>
      </c>
      <c r="D477" s="74" t="s">
        <v>2863</v>
      </c>
      <c r="E477" s="74"/>
      <c r="F477" s="74"/>
      <c r="G477" s="74" t="s">
        <v>621</v>
      </c>
      <c r="H477" s="74" t="s">
        <v>2837</v>
      </c>
      <c r="I477" s="74"/>
      <c r="J477" s="75" t="s">
        <v>2876</v>
      </c>
      <c r="K477" s="74" t="s">
        <v>405</v>
      </c>
      <c r="L477" s="76"/>
      <c r="M477" s="74" t="s">
        <v>211</v>
      </c>
      <c r="N477" s="76"/>
      <c r="O477" s="74">
        <v>1</v>
      </c>
      <c r="P477" s="74"/>
      <c r="Q477" s="77"/>
      <c r="R477" s="74" t="s">
        <v>474</v>
      </c>
      <c r="S477" s="74"/>
      <c r="T477" s="78" t="s">
        <v>2916</v>
      </c>
      <c r="U477" s="79">
        <v>46097</v>
      </c>
      <c r="V477" s="74"/>
    </row>
    <row r="478" spans="1:22" ht="45" x14ac:dyDescent="0.25">
      <c r="A478" s="17">
        <f>SUBTOTAL(103,B$2:B478)*1</f>
        <v>477</v>
      </c>
      <c r="B478" s="25" t="s">
        <v>2589</v>
      </c>
      <c r="C478" s="26" t="s">
        <v>2905</v>
      </c>
      <c r="D478" s="25" t="s">
        <v>314</v>
      </c>
      <c r="E478" s="25"/>
      <c r="F478" s="25"/>
      <c r="G478" s="25" t="s">
        <v>2912</v>
      </c>
      <c r="H478" s="25" t="s">
        <v>2913</v>
      </c>
      <c r="I478" s="25"/>
      <c r="J478" s="25" t="s">
        <v>2904</v>
      </c>
      <c r="K478" s="25" t="s">
        <v>405</v>
      </c>
      <c r="L478" s="27"/>
      <c r="M478" s="25" t="s">
        <v>211</v>
      </c>
      <c r="N478" s="27"/>
      <c r="O478" s="25">
        <v>1</v>
      </c>
      <c r="P478" s="25"/>
      <c r="Q478" s="29"/>
      <c r="R478" s="25" t="s">
        <v>473</v>
      </c>
      <c r="S478" s="25"/>
      <c r="T478" s="55" t="s">
        <v>2914</v>
      </c>
      <c r="U478" s="60">
        <v>46104</v>
      </c>
      <c r="V478" s="17"/>
    </row>
    <row r="479" spans="1:22" ht="45" x14ac:dyDescent="0.25">
      <c r="A479" s="17">
        <f>SUBTOTAL(103,B$2:B479)*1</f>
        <v>478</v>
      </c>
      <c r="B479" s="25" t="s">
        <v>2589</v>
      </c>
      <c r="C479" s="26" t="s">
        <v>2911</v>
      </c>
      <c r="D479" s="25" t="s">
        <v>325</v>
      </c>
      <c r="E479" s="25"/>
      <c r="F479" s="25"/>
      <c r="G479" s="25" t="s">
        <v>2908</v>
      </c>
      <c r="H479" s="25" t="s">
        <v>2909</v>
      </c>
      <c r="I479" s="25"/>
      <c r="J479" s="25" t="s">
        <v>2907</v>
      </c>
      <c r="K479" s="25" t="s">
        <v>405</v>
      </c>
      <c r="L479" s="27"/>
      <c r="M479" s="25" t="s">
        <v>211</v>
      </c>
      <c r="N479" s="27"/>
      <c r="O479" s="25">
        <v>1</v>
      </c>
      <c r="P479" s="25"/>
      <c r="Q479" s="29"/>
      <c r="R479" s="25" t="s">
        <v>474</v>
      </c>
      <c r="S479" s="25"/>
      <c r="T479" s="55" t="s">
        <v>2910</v>
      </c>
      <c r="U479" s="60">
        <v>46104</v>
      </c>
      <c r="V479" s="17"/>
    </row>
    <row r="480" spans="1:22" ht="45" x14ac:dyDescent="0.25">
      <c r="A480" s="17">
        <f>SUBTOTAL(103,B$2:B480)*1</f>
        <v>479</v>
      </c>
      <c r="B480" s="25" t="s">
        <v>2589</v>
      </c>
      <c r="C480" s="26" t="s">
        <v>2920</v>
      </c>
      <c r="D480" s="25" t="s">
        <v>325</v>
      </c>
      <c r="E480" s="25"/>
      <c r="F480" s="25"/>
      <c r="G480" s="25" t="s">
        <v>328</v>
      </c>
      <c r="H480" s="25" t="s">
        <v>927</v>
      </c>
      <c r="I480" s="25"/>
      <c r="J480" s="25" t="s">
        <v>2918</v>
      </c>
      <c r="K480" s="25" t="s">
        <v>748</v>
      </c>
      <c r="L480" s="27"/>
      <c r="M480" s="25" t="s">
        <v>342</v>
      </c>
      <c r="N480" s="27"/>
      <c r="O480" s="25">
        <v>1</v>
      </c>
      <c r="P480" s="25"/>
      <c r="Q480" s="29"/>
      <c r="R480" s="25" t="s">
        <v>474</v>
      </c>
      <c r="S480" s="25"/>
      <c r="T480" s="55" t="s">
        <v>2919</v>
      </c>
      <c r="U480" s="60">
        <v>46104</v>
      </c>
      <c r="V480" s="17"/>
    </row>
    <row r="481" spans="1:22" ht="30" x14ac:dyDescent="0.25">
      <c r="A481" s="17">
        <f>SUBTOTAL(103,B$2:B481)*1</f>
        <v>480</v>
      </c>
      <c r="B481" s="25" t="s">
        <v>2589</v>
      </c>
      <c r="C481" s="26" t="s">
        <v>2924</v>
      </c>
      <c r="D481" s="25" t="s">
        <v>540</v>
      </c>
      <c r="E481" s="25"/>
      <c r="F481" s="25"/>
      <c r="G481" s="25" t="s">
        <v>374</v>
      </c>
      <c r="H481" s="25" t="s">
        <v>1842</v>
      </c>
      <c r="I481" s="25"/>
      <c r="J481" s="25" t="s">
        <v>2922</v>
      </c>
      <c r="K481" s="25" t="s">
        <v>748</v>
      </c>
      <c r="L481" s="27"/>
      <c r="M481" s="25" t="s">
        <v>342</v>
      </c>
      <c r="N481" s="27"/>
      <c r="O481" s="25">
        <v>1</v>
      </c>
      <c r="P481" s="25"/>
      <c r="Q481" s="29"/>
      <c r="R481" s="25" t="s">
        <v>474</v>
      </c>
      <c r="S481" s="25"/>
      <c r="T481" s="55" t="s">
        <v>2923</v>
      </c>
      <c r="U481" s="60">
        <v>46104</v>
      </c>
      <c r="V481" s="17"/>
    </row>
    <row r="482" spans="1:22" x14ac:dyDescent="0.25">
      <c r="A482" s="17">
        <f>SUBTOTAL(103,B$2:B482)*1</f>
        <v>481</v>
      </c>
      <c r="B482" s="25" t="s">
        <v>2589</v>
      </c>
      <c r="C482" s="26" t="s">
        <v>2933</v>
      </c>
      <c r="D482" s="25" t="s">
        <v>540</v>
      </c>
      <c r="E482" s="25"/>
      <c r="F482" s="25"/>
      <c r="G482" s="25" t="s">
        <v>2931</v>
      </c>
      <c r="H482" s="25" t="s">
        <v>1842</v>
      </c>
      <c r="I482" s="25"/>
      <c r="J482" s="25" t="s">
        <v>2930</v>
      </c>
      <c r="K482" s="25" t="s">
        <v>405</v>
      </c>
      <c r="L482" s="27"/>
      <c r="M482" s="25" t="s">
        <v>211</v>
      </c>
      <c r="N482" s="27"/>
      <c r="O482" s="25">
        <v>1</v>
      </c>
      <c r="P482" s="25"/>
      <c r="Q482" s="29"/>
      <c r="R482" s="25" t="s">
        <v>474</v>
      </c>
      <c r="S482" s="25"/>
      <c r="T482" s="55" t="s">
        <v>2932</v>
      </c>
      <c r="U482" s="60">
        <v>46104</v>
      </c>
      <c r="V482" s="17"/>
    </row>
    <row r="483" spans="1:22" x14ac:dyDescent="0.25">
      <c r="A483" s="17">
        <f>SUBTOTAL(103,B$2:B483)*1</f>
        <v>482</v>
      </c>
      <c r="B483" s="25" t="s">
        <v>2589</v>
      </c>
      <c r="C483" s="26" t="s">
        <v>2938</v>
      </c>
      <c r="D483" s="25" t="s">
        <v>325</v>
      </c>
      <c r="E483" s="25"/>
      <c r="F483" s="25"/>
      <c r="G483" s="25" t="s">
        <v>2936</v>
      </c>
      <c r="H483" s="25" t="s">
        <v>1842</v>
      </c>
      <c r="I483" s="25"/>
      <c r="J483" s="25" t="s">
        <v>2935</v>
      </c>
      <c r="K483" s="25" t="s">
        <v>748</v>
      </c>
      <c r="L483" s="27"/>
      <c r="M483" s="25" t="s">
        <v>342</v>
      </c>
      <c r="N483" s="27"/>
      <c r="O483" s="25">
        <v>1</v>
      </c>
      <c r="P483" s="25"/>
      <c r="Q483" s="29"/>
      <c r="R483" s="25" t="s">
        <v>474</v>
      </c>
      <c r="S483" s="25"/>
      <c r="T483" s="55" t="s">
        <v>2937</v>
      </c>
      <c r="U483" s="60">
        <v>46104</v>
      </c>
      <c r="V483" s="17"/>
    </row>
    <row r="484" spans="1:22" ht="30" x14ac:dyDescent="0.25">
      <c r="A484" s="17">
        <f>SUBTOTAL(103,B$2:B484)*1</f>
        <v>483</v>
      </c>
      <c r="B484" s="25" t="s">
        <v>2589</v>
      </c>
      <c r="C484" s="26" t="s">
        <v>2942</v>
      </c>
      <c r="D484" s="25" t="s">
        <v>304</v>
      </c>
      <c r="E484" s="25"/>
      <c r="F484" s="25"/>
      <c r="G484" s="25" t="s">
        <v>328</v>
      </c>
      <c r="H484" s="25" t="s">
        <v>927</v>
      </c>
      <c r="I484" s="25"/>
      <c r="J484" s="25" t="s">
        <v>2939</v>
      </c>
      <c r="K484" s="25" t="s">
        <v>748</v>
      </c>
      <c r="L484" s="27"/>
      <c r="M484" s="25" t="s">
        <v>342</v>
      </c>
      <c r="N484" s="27"/>
      <c r="O484" s="25">
        <v>1</v>
      </c>
      <c r="P484" s="25"/>
      <c r="Q484" s="29"/>
      <c r="R484" s="25" t="s">
        <v>474</v>
      </c>
      <c r="S484" s="25"/>
      <c r="T484" s="55" t="s">
        <v>2941</v>
      </c>
      <c r="U484" s="60">
        <v>46104</v>
      </c>
      <c r="V484" s="17"/>
    </row>
    <row r="485" spans="1:22" x14ac:dyDescent="0.25">
      <c r="A485" s="17">
        <f>SUBTOTAL(103,B$2:B485)*1</f>
        <v>484</v>
      </c>
      <c r="B485" s="25" t="s">
        <v>2589</v>
      </c>
      <c r="C485" s="26" t="s">
        <v>2946</v>
      </c>
      <c r="D485" s="25" t="s">
        <v>325</v>
      </c>
      <c r="E485" s="25"/>
      <c r="F485" s="25"/>
      <c r="G485" s="25" t="s">
        <v>352</v>
      </c>
      <c r="H485" s="25" t="s">
        <v>927</v>
      </c>
      <c r="I485" s="25"/>
      <c r="J485" s="25" t="s">
        <v>2945</v>
      </c>
      <c r="K485" s="25" t="s">
        <v>748</v>
      </c>
      <c r="L485" s="27"/>
      <c r="M485" s="25" t="s">
        <v>342</v>
      </c>
      <c r="N485" s="27"/>
      <c r="O485" s="25">
        <v>1</v>
      </c>
      <c r="P485" s="25"/>
      <c r="Q485" s="29"/>
      <c r="R485" s="25" t="s">
        <v>474</v>
      </c>
      <c r="S485" s="25"/>
      <c r="T485" s="55" t="s">
        <v>2944</v>
      </c>
      <c r="U485" s="60">
        <v>46104</v>
      </c>
      <c r="V485" s="17"/>
    </row>
    <row r="486" spans="1:22" ht="30" x14ac:dyDescent="0.25">
      <c r="A486" s="17">
        <f>SUBTOTAL(103,B$2:B486)*1</f>
        <v>485</v>
      </c>
      <c r="B486" s="25" t="s">
        <v>2589</v>
      </c>
      <c r="C486" s="26" t="s">
        <v>2951</v>
      </c>
      <c r="D486" s="25" t="s">
        <v>325</v>
      </c>
      <c r="E486" s="25"/>
      <c r="F486" s="25"/>
      <c r="G486" s="25" t="s">
        <v>2949</v>
      </c>
      <c r="H486" s="25" t="s">
        <v>2909</v>
      </c>
      <c r="I486" s="25"/>
      <c r="J486" s="25" t="s">
        <v>2948</v>
      </c>
      <c r="K486" s="25" t="s">
        <v>748</v>
      </c>
      <c r="L486" s="27"/>
      <c r="M486" s="25" t="s">
        <v>342</v>
      </c>
      <c r="N486" s="27"/>
      <c r="O486" s="25">
        <v>1</v>
      </c>
      <c r="P486" s="25"/>
      <c r="Q486" s="29"/>
      <c r="R486" s="25" t="s">
        <v>474</v>
      </c>
      <c r="S486" s="25"/>
      <c r="T486" s="55" t="s">
        <v>2950</v>
      </c>
      <c r="U486" s="60">
        <v>46104</v>
      </c>
      <c r="V486" s="17"/>
    </row>
    <row r="487" spans="1:22" ht="30" x14ac:dyDescent="0.25">
      <c r="A487" s="17">
        <f>SUBTOTAL(103,B$2:B487)*1</f>
        <v>486</v>
      </c>
      <c r="B487" s="25" t="s">
        <v>2589</v>
      </c>
      <c r="C487" s="26" t="s">
        <v>2954</v>
      </c>
      <c r="D487" s="25" t="s">
        <v>298</v>
      </c>
      <c r="E487" s="25"/>
      <c r="F487" s="25"/>
      <c r="G487" s="25" t="s">
        <v>381</v>
      </c>
      <c r="H487" s="25" t="s">
        <v>923</v>
      </c>
      <c r="I487" s="25"/>
      <c r="J487" s="25" t="s">
        <v>2953</v>
      </c>
      <c r="K487" s="25" t="s">
        <v>748</v>
      </c>
      <c r="L487" s="27"/>
      <c r="M487" s="25" t="s">
        <v>342</v>
      </c>
      <c r="N487" s="27"/>
      <c r="O487" s="25">
        <v>1</v>
      </c>
      <c r="P487" s="25"/>
      <c r="Q487" s="29"/>
      <c r="R487" s="25" t="s">
        <v>2956</v>
      </c>
      <c r="S487" s="25"/>
      <c r="T487" s="55" t="s">
        <v>2955</v>
      </c>
      <c r="U487" s="60">
        <v>46104</v>
      </c>
      <c r="V487" s="17"/>
    </row>
    <row r="488" spans="1:22" ht="30" x14ac:dyDescent="0.25">
      <c r="A488" s="17">
        <f>SUBTOTAL(103,B$2:B488)*1</f>
        <v>487</v>
      </c>
      <c r="B488" s="25" t="s">
        <v>2589</v>
      </c>
      <c r="C488" s="26" t="s">
        <v>2961</v>
      </c>
      <c r="D488" s="25" t="s">
        <v>1287</v>
      </c>
      <c r="E488" s="25"/>
      <c r="F488" s="25"/>
      <c r="G488" s="25" t="s">
        <v>2959</v>
      </c>
      <c r="H488" s="25" t="s">
        <v>2909</v>
      </c>
      <c r="I488" s="25"/>
      <c r="J488" s="25" t="s">
        <v>2958</v>
      </c>
      <c r="K488" s="25" t="s">
        <v>405</v>
      </c>
      <c r="L488" s="27"/>
      <c r="M488" s="25" t="s">
        <v>211</v>
      </c>
      <c r="N488" s="27"/>
      <c r="O488" s="25">
        <v>1</v>
      </c>
      <c r="P488" s="25"/>
      <c r="Q488" s="29"/>
      <c r="R488" s="25" t="s">
        <v>2956</v>
      </c>
      <c r="S488" s="25"/>
      <c r="T488" s="55" t="s">
        <v>2960</v>
      </c>
      <c r="U488" s="60">
        <v>46104</v>
      </c>
      <c r="V488" s="17"/>
    </row>
    <row r="489" spans="1:22" ht="30" x14ac:dyDescent="0.25">
      <c r="A489" s="17">
        <f>SUBTOTAL(103,B$2:B489)*1</f>
        <v>488</v>
      </c>
      <c r="B489" s="25" t="s">
        <v>2589</v>
      </c>
      <c r="C489" s="26" t="s">
        <v>2970</v>
      </c>
      <c r="D489" s="25" t="s">
        <v>1287</v>
      </c>
      <c r="E489" s="25"/>
      <c r="F489" s="25"/>
      <c r="G489" s="25" t="s">
        <v>364</v>
      </c>
      <c r="H489" s="25" t="s">
        <v>927</v>
      </c>
      <c r="I489" s="25"/>
      <c r="J489" s="25" t="s">
        <v>2849</v>
      </c>
      <c r="K489" s="25" t="s">
        <v>748</v>
      </c>
      <c r="L489" s="27"/>
      <c r="M489" s="25" t="s">
        <v>211</v>
      </c>
      <c r="N489" s="27"/>
      <c r="O489" s="25">
        <v>1</v>
      </c>
      <c r="P489" s="25"/>
      <c r="Q489" s="29"/>
      <c r="R489" s="25" t="s">
        <v>2965</v>
      </c>
      <c r="S489" s="25"/>
      <c r="T489" s="55" t="s">
        <v>2966</v>
      </c>
      <c r="U489" s="60">
        <v>46104</v>
      </c>
      <c r="V489" s="17"/>
    </row>
    <row r="490" spans="1:22" x14ac:dyDescent="0.25">
      <c r="A490" s="17">
        <f>SUBTOTAL(103,B$2:B490)*1</f>
        <v>489</v>
      </c>
      <c r="B490" s="25" t="s">
        <v>2589</v>
      </c>
      <c r="C490" s="26" t="s">
        <v>2969</v>
      </c>
      <c r="D490" s="25" t="s">
        <v>540</v>
      </c>
      <c r="E490" s="25"/>
      <c r="F490" s="25"/>
      <c r="G490" s="25" t="s">
        <v>364</v>
      </c>
      <c r="H490" s="25" t="s">
        <v>927</v>
      </c>
      <c r="I490" s="25"/>
      <c r="J490" s="25" t="s">
        <v>2967</v>
      </c>
      <c r="K490" s="25" t="s">
        <v>748</v>
      </c>
      <c r="L490" s="27"/>
      <c r="M490" s="25" t="s">
        <v>211</v>
      </c>
      <c r="N490" s="27"/>
      <c r="O490" s="25">
        <v>1</v>
      </c>
      <c r="P490" s="25"/>
      <c r="Q490" s="29"/>
      <c r="R490" s="25" t="s">
        <v>2965</v>
      </c>
      <c r="S490" s="25"/>
      <c r="T490" s="55" t="s">
        <v>2968</v>
      </c>
      <c r="U490" s="60">
        <v>46104</v>
      </c>
      <c r="V490" s="17"/>
    </row>
    <row r="491" spans="1:22" ht="30" customHeight="1" x14ac:dyDescent="0.25">
      <c r="A491" s="17">
        <f>SUBTOTAL(103,B$2:B491)*1</f>
        <v>490</v>
      </c>
      <c r="B491" s="25" t="s">
        <v>2589</v>
      </c>
      <c r="C491" s="26" t="s">
        <v>2984</v>
      </c>
      <c r="D491" s="25" t="s">
        <v>540</v>
      </c>
      <c r="E491" s="25"/>
      <c r="F491" s="25"/>
      <c r="G491" s="25" t="s">
        <v>2985</v>
      </c>
      <c r="H491" s="25" t="s">
        <v>2909</v>
      </c>
      <c r="I491" s="25"/>
      <c r="J491" s="25" t="s">
        <v>2981</v>
      </c>
      <c r="K491" s="25" t="s">
        <v>2982</v>
      </c>
      <c r="L491" s="27"/>
      <c r="M491" s="25" t="s">
        <v>211</v>
      </c>
      <c r="N491" s="27"/>
      <c r="O491" s="25">
        <v>1</v>
      </c>
      <c r="P491" s="25"/>
      <c r="Q491" s="29"/>
      <c r="R491" s="25" t="s">
        <v>2974</v>
      </c>
      <c r="S491" s="25"/>
      <c r="T491" s="55" t="s">
        <v>2983</v>
      </c>
      <c r="U491" s="60">
        <v>46104</v>
      </c>
      <c r="V491" s="17"/>
    </row>
    <row r="492" spans="1:22" ht="30" customHeight="1" x14ac:dyDescent="0.25">
      <c r="A492" s="17">
        <f>SUBTOTAL(103,B$2:B492)*1</f>
        <v>491</v>
      </c>
      <c r="B492" s="25" t="s">
        <v>2589</v>
      </c>
      <c r="C492" s="26" t="s">
        <v>2989</v>
      </c>
      <c r="D492" s="25" t="s">
        <v>540</v>
      </c>
      <c r="E492" s="25"/>
      <c r="F492" s="25"/>
      <c r="G492" s="25" t="s">
        <v>2990</v>
      </c>
      <c r="H492" s="25" t="s">
        <v>2909</v>
      </c>
      <c r="I492" s="25"/>
      <c r="J492" s="25" t="s">
        <v>2987</v>
      </c>
      <c r="K492" s="25" t="s">
        <v>748</v>
      </c>
      <c r="L492" s="27"/>
      <c r="M492" s="25" t="s">
        <v>211</v>
      </c>
      <c r="N492" s="27"/>
      <c r="O492" s="25">
        <v>1</v>
      </c>
      <c r="P492" s="25"/>
      <c r="Q492" s="29"/>
      <c r="R492" s="25" t="s">
        <v>2974</v>
      </c>
      <c r="S492" s="25"/>
      <c r="T492" s="55" t="s">
        <v>2988</v>
      </c>
      <c r="U492" s="60">
        <v>46104</v>
      </c>
      <c r="V492" s="17"/>
    </row>
    <row r="493" spans="1:22" ht="30" customHeight="1" x14ac:dyDescent="0.25">
      <c r="A493" s="17">
        <f>SUBTOTAL(103,B$2:B493)*1</f>
        <v>492</v>
      </c>
      <c r="B493" s="25" t="s">
        <v>2589</v>
      </c>
      <c r="C493" s="26"/>
      <c r="D493" s="25"/>
      <c r="E493" s="25"/>
      <c r="F493" s="25"/>
      <c r="G493" s="25"/>
      <c r="H493" s="25"/>
      <c r="I493" s="25"/>
      <c r="J493" s="25"/>
      <c r="K493" s="25"/>
      <c r="L493" s="27"/>
      <c r="M493" s="25"/>
      <c r="N493" s="27"/>
      <c r="O493" s="25"/>
      <c r="P493" s="25"/>
      <c r="Q493" s="29"/>
      <c r="R493" s="25"/>
      <c r="S493" s="25"/>
      <c r="T493" s="55"/>
      <c r="U493" s="60"/>
      <c r="V493" s="17"/>
    </row>
    <row r="494" spans="1:22" ht="30" customHeight="1" x14ac:dyDescent="0.25">
      <c r="A494" s="17">
        <f>SUBTOTAL(103,B$2:B494)*1</f>
        <v>493</v>
      </c>
      <c r="B494" s="25" t="s">
        <v>2589</v>
      </c>
      <c r="C494" s="26"/>
      <c r="D494" s="25"/>
      <c r="E494" s="25"/>
      <c r="F494" s="25"/>
      <c r="G494" s="25"/>
      <c r="H494" s="25"/>
      <c r="I494" s="25"/>
      <c r="J494" s="25"/>
      <c r="K494" s="25"/>
      <c r="L494" s="27"/>
      <c r="M494" s="25"/>
      <c r="N494" s="27"/>
      <c r="O494" s="25"/>
      <c r="P494" s="25"/>
      <c r="Q494" s="29"/>
      <c r="R494" s="25"/>
      <c r="S494" s="25"/>
      <c r="T494" s="55"/>
      <c r="U494" s="60"/>
      <c r="V494" s="17"/>
    </row>
    <row r="495" spans="1:22" ht="30" customHeight="1" x14ac:dyDescent="0.25">
      <c r="A495" s="17">
        <f>SUBTOTAL(103,B$2:B495)*1</f>
        <v>494</v>
      </c>
      <c r="B495" s="25" t="s">
        <v>2589</v>
      </c>
      <c r="C495" s="26"/>
      <c r="D495" s="25"/>
      <c r="E495" s="25"/>
      <c r="F495" s="25"/>
      <c r="G495" s="25"/>
      <c r="H495" s="25"/>
      <c r="I495" s="25"/>
      <c r="J495" s="25"/>
      <c r="K495" s="25"/>
      <c r="L495" s="27"/>
      <c r="M495" s="25"/>
      <c r="N495" s="27"/>
      <c r="O495" s="25"/>
      <c r="P495" s="25"/>
      <c r="Q495" s="29"/>
      <c r="R495" s="25"/>
      <c r="S495" s="25"/>
      <c r="T495" s="55"/>
      <c r="U495" s="60"/>
      <c r="V495" s="17"/>
    </row>
    <row r="496" spans="1:22" ht="30" customHeight="1" x14ac:dyDescent="0.25">
      <c r="A496" s="17">
        <f>SUBTOTAL(103,B$2:B496)*1</f>
        <v>495</v>
      </c>
      <c r="B496" s="25" t="s">
        <v>2589</v>
      </c>
      <c r="C496" s="26"/>
      <c r="D496" s="25"/>
      <c r="E496" s="25"/>
      <c r="F496" s="25"/>
      <c r="G496" s="25"/>
      <c r="H496" s="25"/>
      <c r="I496" s="25"/>
      <c r="J496" s="25"/>
      <c r="K496" s="25"/>
      <c r="L496" s="27"/>
      <c r="M496" s="25"/>
      <c r="N496" s="27"/>
      <c r="O496" s="25"/>
      <c r="P496" s="25"/>
      <c r="Q496" s="29"/>
      <c r="R496" s="25"/>
      <c r="S496" s="25"/>
      <c r="T496" s="55"/>
      <c r="U496" s="60"/>
      <c r="V496" s="17"/>
    </row>
    <row r="497" spans="1:22" ht="30" customHeight="1" x14ac:dyDescent="0.25">
      <c r="A497" s="17">
        <f>SUBTOTAL(103,B$2:B497)*1</f>
        <v>496</v>
      </c>
      <c r="B497" s="25" t="s">
        <v>2589</v>
      </c>
      <c r="C497" s="26"/>
      <c r="D497" s="25"/>
      <c r="E497" s="25"/>
      <c r="F497" s="25"/>
      <c r="G497" s="25"/>
      <c r="H497" s="25"/>
      <c r="I497" s="25"/>
      <c r="J497" s="25"/>
      <c r="K497" s="25"/>
      <c r="L497" s="27"/>
      <c r="M497" s="25"/>
      <c r="N497" s="27"/>
      <c r="O497" s="25"/>
      <c r="P497" s="25"/>
      <c r="Q497" s="29"/>
      <c r="R497" s="25"/>
      <c r="S497" s="25"/>
      <c r="T497" s="55"/>
      <c r="U497" s="60"/>
      <c r="V497" s="17"/>
    </row>
    <row r="498" spans="1:22" ht="30" customHeight="1" x14ac:dyDescent="0.25">
      <c r="A498" s="17">
        <f>SUBTOTAL(103,B$2:B498)*1</f>
        <v>497</v>
      </c>
      <c r="B498" s="25" t="s">
        <v>2589</v>
      </c>
      <c r="C498" s="26"/>
      <c r="D498" s="25"/>
      <c r="E498" s="25"/>
      <c r="F498" s="25"/>
      <c r="G498" s="25"/>
      <c r="H498" s="25"/>
      <c r="I498" s="25"/>
      <c r="J498" s="25"/>
      <c r="K498" s="25"/>
      <c r="L498" s="27"/>
      <c r="M498" s="25"/>
      <c r="N498" s="27"/>
      <c r="O498" s="25"/>
      <c r="P498" s="25"/>
      <c r="Q498" s="29"/>
      <c r="R498" s="25"/>
      <c r="S498" s="25"/>
      <c r="T498" s="55"/>
      <c r="U498" s="60"/>
      <c r="V498" s="17"/>
    </row>
    <row r="499" spans="1:22" ht="30" customHeight="1" x14ac:dyDescent="0.25">
      <c r="A499" s="17">
        <f>SUBTOTAL(103,B$2:B499)*1</f>
        <v>498</v>
      </c>
      <c r="B499" s="25" t="s">
        <v>2589</v>
      </c>
      <c r="C499" s="26"/>
      <c r="D499" s="25"/>
      <c r="E499" s="25"/>
      <c r="F499" s="25"/>
      <c r="G499" s="25"/>
      <c r="H499" s="25"/>
      <c r="I499" s="25"/>
      <c r="J499" s="25"/>
      <c r="K499" s="25"/>
      <c r="L499" s="27"/>
      <c r="M499" s="25"/>
      <c r="N499" s="27"/>
      <c r="O499" s="25"/>
      <c r="P499" s="25"/>
      <c r="Q499" s="29"/>
      <c r="R499" s="25"/>
      <c r="S499" s="25"/>
      <c r="T499" s="55"/>
      <c r="U499" s="60"/>
      <c r="V499" s="17"/>
    </row>
    <row r="500" spans="1:22" ht="30" customHeight="1" x14ac:dyDescent="0.25">
      <c r="A500" s="17">
        <f>SUBTOTAL(103,B$2:B500)*1</f>
        <v>498</v>
      </c>
      <c r="B500" s="17"/>
      <c r="C500" s="18"/>
      <c r="D500" s="17"/>
      <c r="E500" s="17"/>
      <c r="F500" s="17"/>
      <c r="G500" s="17"/>
      <c r="H500" s="17"/>
      <c r="I500" s="17"/>
      <c r="J500" s="17"/>
      <c r="K500" s="17"/>
      <c r="L500" s="19"/>
      <c r="M500" s="17"/>
      <c r="N500" s="19"/>
      <c r="O500" s="17"/>
      <c r="P500" s="17"/>
      <c r="Q500" s="28"/>
      <c r="R500" s="17"/>
      <c r="S500" s="17"/>
      <c r="T500" s="20"/>
      <c r="U500" s="28"/>
      <c r="V500" s="17"/>
    </row>
    <row r="501" spans="1:22" ht="30" customHeight="1" x14ac:dyDescent="0.25">
      <c r="A501" s="17">
        <f>SUBTOTAL(103,B$2:B501)*1</f>
        <v>498</v>
      </c>
      <c r="B501" s="17"/>
      <c r="C501" s="18"/>
      <c r="D501" s="17"/>
      <c r="E501" s="17"/>
      <c r="F501" s="17"/>
      <c r="G501" s="17"/>
      <c r="H501" s="17"/>
      <c r="I501" s="17"/>
      <c r="J501" s="17"/>
      <c r="K501" s="17"/>
      <c r="L501" s="19"/>
      <c r="M501" s="17"/>
      <c r="N501" s="19"/>
      <c r="O501" s="17"/>
      <c r="P501" s="17"/>
      <c r="Q501" s="28"/>
      <c r="R501" s="17"/>
      <c r="S501" s="17"/>
      <c r="T501" s="20"/>
      <c r="U501" s="28"/>
      <c r="V501" s="17"/>
    </row>
    <row r="502" spans="1:22" ht="30" customHeight="1" x14ac:dyDescent="0.25">
      <c r="A502" s="17">
        <f>SUBTOTAL(103,B$2:B502)*1</f>
        <v>498</v>
      </c>
      <c r="B502" s="17"/>
      <c r="C502" s="18"/>
      <c r="D502" s="17"/>
      <c r="E502" s="17"/>
      <c r="F502" s="17"/>
      <c r="G502" s="17"/>
      <c r="H502" s="17"/>
      <c r="I502" s="17"/>
      <c r="J502" s="17"/>
      <c r="K502" s="17"/>
      <c r="L502" s="19"/>
      <c r="M502" s="17"/>
      <c r="N502" s="19"/>
      <c r="O502" s="17"/>
      <c r="P502" s="17"/>
      <c r="Q502" s="28"/>
      <c r="R502" s="17"/>
      <c r="S502" s="17"/>
      <c r="T502" s="20"/>
      <c r="U502" s="28"/>
      <c r="V502" s="17"/>
    </row>
    <row r="503" spans="1:22" ht="30" customHeight="1" x14ac:dyDescent="0.25">
      <c r="A503" s="17">
        <f>SUBTOTAL(103,B$2:B503)*1</f>
        <v>498</v>
      </c>
      <c r="B503" s="17"/>
      <c r="C503" s="18"/>
      <c r="D503" s="17"/>
      <c r="E503" s="17"/>
      <c r="F503" s="17"/>
      <c r="G503" s="17"/>
      <c r="H503" s="17"/>
      <c r="I503" s="17"/>
      <c r="J503" s="17"/>
      <c r="K503" s="17"/>
      <c r="L503" s="19"/>
      <c r="M503" s="17"/>
      <c r="N503" s="19"/>
      <c r="O503" s="17"/>
      <c r="P503" s="17"/>
      <c r="Q503" s="28"/>
      <c r="R503" s="17"/>
      <c r="S503" s="17"/>
      <c r="T503" s="20"/>
      <c r="U503" s="28"/>
      <c r="V503" s="17"/>
    </row>
    <row r="504" spans="1:22" ht="30" customHeight="1" x14ac:dyDescent="0.25">
      <c r="A504" s="17">
        <f>SUBTOTAL(103,B$2:B504)*1</f>
        <v>498</v>
      </c>
      <c r="B504" s="17"/>
      <c r="C504" s="18"/>
      <c r="D504" s="17"/>
      <c r="E504" s="17"/>
      <c r="F504" s="17"/>
      <c r="G504" s="17"/>
      <c r="H504" s="17"/>
      <c r="I504" s="17"/>
      <c r="J504" s="17"/>
      <c r="K504" s="17"/>
      <c r="L504" s="19"/>
      <c r="M504" s="17"/>
      <c r="N504" s="19"/>
      <c r="O504" s="17"/>
      <c r="P504" s="17"/>
      <c r="Q504" s="28"/>
      <c r="R504" s="17"/>
      <c r="S504" s="17"/>
      <c r="T504" s="20"/>
      <c r="U504" s="28"/>
      <c r="V504" s="17"/>
    </row>
    <row r="505" spans="1:22" ht="30" customHeight="1" x14ac:dyDescent="0.25">
      <c r="A505" s="17">
        <f>SUBTOTAL(103,B$2:B505)*1</f>
        <v>498</v>
      </c>
      <c r="B505" s="17"/>
      <c r="C505" s="18"/>
      <c r="D505" s="17"/>
      <c r="E505" s="17"/>
      <c r="F505" s="17"/>
      <c r="G505" s="17"/>
      <c r="H505" s="17"/>
      <c r="I505" s="17"/>
      <c r="J505" s="17"/>
      <c r="K505" s="17"/>
      <c r="L505" s="19"/>
      <c r="M505" s="17"/>
      <c r="N505" s="19"/>
      <c r="O505" s="17"/>
      <c r="P505" s="17"/>
      <c r="Q505" s="28"/>
      <c r="R505" s="17"/>
      <c r="S505" s="17"/>
      <c r="T505" s="20"/>
      <c r="U505" s="28"/>
      <c r="V505" s="17"/>
    </row>
    <row r="506" spans="1:22" ht="30" customHeight="1" x14ac:dyDescent="0.25">
      <c r="A506" s="17">
        <f>SUBTOTAL(103,B$2:B506)*1</f>
        <v>498</v>
      </c>
      <c r="B506" s="17"/>
      <c r="C506" s="18"/>
      <c r="D506" s="17"/>
      <c r="E506" s="17"/>
      <c r="F506" s="17"/>
      <c r="G506" s="17"/>
      <c r="H506" s="17"/>
      <c r="I506" s="17"/>
      <c r="J506" s="17"/>
      <c r="K506" s="17"/>
      <c r="L506" s="19"/>
      <c r="M506" s="17"/>
      <c r="N506" s="19"/>
      <c r="O506" s="17"/>
      <c r="P506" s="17"/>
      <c r="Q506" s="28"/>
      <c r="R506" s="17"/>
      <c r="S506" s="17"/>
      <c r="T506" s="20"/>
      <c r="U506" s="28"/>
      <c r="V506" s="17"/>
    </row>
    <row r="507" spans="1:22" ht="30" customHeight="1" x14ac:dyDescent="0.25">
      <c r="A507" s="17">
        <f>SUBTOTAL(103,B$2:B507)*1</f>
        <v>498</v>
      </c>
      <c r="B507" s="17"/>
      <c r="C507" s="18"/>
      <c r="D507" s="17"/>
      <c r="E507" s="17"/>
      <c r="F507" s="17"/>
      <c r="G507" s="17"/>
      <c r="H507" s="17"/>
      <c r="I507" s="17"/>
      <c r="J507" s="17"/>
      <c r="K507" s="17"/>
      <c r="L507" s="19"/>
      <c r="M507" s="17"/>
      <c r="N507" s="19"/>
      <c r="O507" s="17"/>
      <c r="P507" s="17"/>
      <c r="Q507" s="28"/>
      <c r="R507" s="17"/>
      <c r="S507" s="17"/>
      <c r="T507" s="20"/>
      <c r="U507" s="28"/>
      <c r="V507" s="17"/>
    </row>
    <row r="508" spans="1:22" ht="30" customHeight="1" x14ac:dyDescent="0.25">
      <c r="A508" s="17">
        <f>SUBTOTAL(103,B$2:B508)*1</f>
        <v>498</v>
      </c>
      <c r="B508" s="17"/>
      <c r="C508" s="18"/>
      <c r="D508" s="17"/>
      <c r="E508" s="17"/>
      <c r="F508" s="17"/>
      <c r="G508" s="17"/>
      <c r="H508" s="17"/>
      <c r="I508" s="17"/>
      <c r="J508" s="17"/>
      <c r="K508" s="17"/>
      <c r="L508" s="19"/>
      <c r="M508" s="17"/>
      <c r="N508" s="19"/>
      <c r="O508" s="17"/>
      <c r="P508" s="17"/>
      <c r="Q508" s="28"/>
      <c r="R508" s="17"/>
      <c r="S508" s="17"/>
      <c r="T508" s="20"/>
      <c r="U508" s="28"/>
      <c r="V508" s="17"/>
    </row>
    <row r="509" spans="1:22" ht="30" customHeight="1" x14ac:dyDescent="0.25">
      <c r="A509" s="17">
        <f>SUBTOTAL(103,B$2:B509)*1</f>
        <v>498</v>
      </c>
      <c r="B509" s="17"/>
      <c r="C509" s="18"/>
      <c r="D509" s="17"/>
      <c r="E509" s="17"/>
      <c r="F509" s="17"/>
      <c r="G509" s="17"/>
      <c r="H509" s="17"/>
      <c r="I509" s="17"/>
      <c r="J509" s="17"/>
      <c r="K509" s="17"/>
      <c r="L509" s="19"/>
      <c r="M509" s="17"/>
      <c r="N509" s="19"/>
      <c r="O509" s="17"/>
      <c r="P509" s="17"/>
      <c r="Q509" s="28"/>
      <c r="R509" s="17"/>
      <c r="S509" s="17"/>
      <c r="T509" s="20"/>
      <c r="U509" s="28"/>
      <c r="V509" s="17"/>
    </row>
    <row r="510" spans="1:22" ht="30" customHeight="1" x14ac:dyDescent="0.25">
      <c r="A510" s="17">
        <f>SUBTOTAL(103,B$2:B510)*1</f>
        <v>498</v>
      </c>
      <c r="B510" s="17"/>
      <c r="C510" s="18"/>
      <c r="D510" s="17"/>
      <c r="E510" s="17"/>
      <c r="F510" s="17"/>
      <c r="G510" s="17"/>
      <c r="H510" s="17"/>
      <c r="I510" s="17"/>
      <c r="J510" s="17"/>
      <c r="K510" s="17"/>
      <c r="L510" s="19"/>
      <c r="M510" s="17"/>
      <c r="N510" s="19"/>
      <c r="O510" s="17"/>
      <c r="P510" s="17"/>
      <c r="Q510" s="28"/>
      <c r="R510" s="17"/>
      <c r="S510" s="17"/>
      <c r="T510" s="20"/>
      <c r="U510" s="28"/>
      <c r="V510" s="17"/>
    </row>
    <row r="511" spans="1:22" ht="30" customHeight="1" x14ac:dyDescent="0.25">
      <c r="A511" s="17">
        <f>SUBTOTAL(103,B$2:B511)*1</f>
        <v>498</v>
      </c>
      <c r="B511" s="17"/>
      <c r="C511" s="18"/>
      <c r="D511" s="17"/>
      <c r="E511" s="17"/>
      <c r="F511" s="17"/>
      <c r="G511" s="17"/>
      <c r="H511" s="17"/>
      <c r="I511" s="17"/>
      <c r="J511" s="17"/>
      <c r="K511" s="17"/>
      <c r="L511" s="19"/>
      <c r="M511" s="17"/>
      <c r="N511" s="19"/>
      <c r="O511" s="17"/>
      <c r="P511" s="17"/>
      <c r="Q511" s="28"/>
      <c r="R511" s="17"/>
      <c r="S511" s="17"/>
      <c r="T511" s="20"/>
      <c r="U511" s="28"/>
      <c r="V511" s="17"/>
    </row>
    <row r="512" spans="1:22" ht="30" customHeight="1" x14ac:dyDescent="0.25">
      <c r="A512" s="17">
        <f>SUBTOTAL(103,B$2:B512)*1</f>
        <v>498</v>
      </c>
      <c r="B512" s="17"/>
      <c r="C512" s="18"/>
      <c r="D512" s="17"/>
      <c r="E512" s="17"/>
      <c r="F512" s="17"/>
      <c r="G512" s="17"/>
      <c r="H512" s="17"/>
      <c r="I512" s="17"/>
      <c r="J512" s="17"/>
      <c r="K512" s="17"/>
      <c r="L512" s="19"/>
      <c r="M512" s="17"/>
      <c r="N512" s="19"/>
      <c r="O512" s="17"/>
      <c r="P512" s="17"/>
      <c r="Q512" s="28"/>
      <c r="R512" s="17"/>
      <c r="S512" s="17"/>
      <c r="T512" s="20"/>
      <c r="U512" s="28"/>
      <c r="V512" s="17"/>
    </row>
    <row r="513" spans="1:22" ht="30" customHeight="1" x14ac:dyDescent="0.25">
      <c r="A513" s="17">
        <f>SUBTOTAL(103,B$2:B513)*1</f>
        <v>498</v>
      </c>
      <c r="B513" s="17"/>
      <c r="C513" s="18"/>
      <c r="D513" s="17"/>
      <c r="E513" s="17"/>
      <c r="F513" s="17"/>
      <c r="G513" s="17"/>
      <c r="H513" s="17"/>
      <c r="I513" s="17"/>
      <c r="J513" s="17"/>
      <c r="K513" s="17"/>
      <c r="L513" s="19"/>
      <c r="M513" s="17"/>
      <c r="N513" s="19"/>
      <c r="O513" s="17"/>
      <c r="P513" s="17"/>
      <c r="Q513" s="28"/>
      <c r="R513" s="17"/>
      <c r="S513" s="17"/>
      <c r="T513" s="20"/>
      <c r="U513" s="28"/>
      <c r="V513" s="17"/>
    </row>
    <row r="514" spans="1:22" ht="30" customHeight="1" x14ac:dyDescent="0.25">
      <c r="A514" s="17">
        <f>SUBTOTAL(103,B$2:B514)*1</f>
        <v>498</v>
      </c>
      <c r="B514" s="17"/>
      <c r="C514" s="18"/>
      <c r="D514" s="17"/>
      <c r="E514" s="17"/>
      <c r="F514" s="17"/>
      <c r="G514" s="17"/>
      <c r="H514" s="17"/>
      <c r="I514" s="17"/>
      <c r="J514" s="17"/>
      <c r="K514" s="17"/>
      <c r="L514" s="19"/>
      <c r="M514" s="17"/>
      <c r="N514" s="19"/>
      <c r="O514" s="17"/>
      <c r="P514" s="17"/>
      <c r="Q514" s="28"/>
      <c r="R514" s="17"/>
      <c r="S514" s="17"/>
      <c r="T514" s="20"/>
      <c r="U514" s="28"/>
      <c r="V514" s="17"/>
    </row>
    <row r="515" spans="1:22" ht="30" customHeight="1" x14ac:dyDescent="0.25">
      <c r="A515" s="17">
        <f>SUBTOTAL(103,B$2:B515)*1</f>
        <v>498</v>
      </c>
      <c r="B515" s="17"/>
      <c r="C515" s="18"/>
      <c r="D515" s="17"/>
      <c r="E515" s="17"/>
      <c r="F515" s="17"/>
      <c r="G515" s="17"/>
      <c r="H515" s="17"/>
      <c r="I515" s="17"/>
      <c r="J515" s="17"/>
      <c r="K515" s="17"/>
      <c r="L515" s="19"/>
      <c r="M515" s="17"/>
      <c r="N515" s="19"/>
      <c r="O515" s="17"/>
      <c r="P515" s="17"/>
      <c r="Q515" s="28"/>
      <c r="R515" s="17"/>
      <c r="S515" s="17"/>
      <c r="T515" s="20"/>
      <c r="U515" s="28"/>
      <c r="V515" s="17"/>
    </row>
    <row r="522" spans="1:22" x14ac:dyDescent="0.25">
      <c r="P522" s="6"/>
    </row>
  </sheetData>
  <autoFilter ref="A1:V515" xr:uid="{00000000-0001-0000-0000-000000000000}"/>
  <phoneticPr fontId="1" type="noConversion"/>
  <conditionalFormatting sqref="C444">
    <cfRule type="duplicateValues" dxfId="10" priority="9"/>
  </conditionalFormatting>
  <conditionalFormatting sqref="C451">
    <cfRule type="duplicateValues" dxfId="9" priority="8"/>
  </conditionalFormatting>
  <conditionalFormatting sqref="H1:I143 B1:B1048576">
    <cfRule type="cellIs" dxfId="8" priority="45" operator="equal">
      <formula>"2024年"</formula>
    </cfRule>
  </conditionalFormatting>
  <conditionalFormatting sqref="C136 J2:J135 J137:J466 J468:J474 J478:J573">
    <cfRule type="duplicateValues" dxfId="7" priority="147"/>
  </conditionalFormatting>
  <conditionalFormatting sqref="M2:M573">
    <cfRule type="cellIs" dxfId="6" priority="10" operator="equal">
      <formula>"丢标"</formula>
    </cfRule>
    <cfRule type="cellIs" dxfId="5" priority="15" operator="equal">
      <formula>"放弃"</formula>
    </cfRule>
    <cfRule type="expression" dxfId="4" priority="49">
      <formula>OR($M2="中标",$M2="已签单")</formula>
    </cfRule>
  </conditionalFormatting>
  <conditionalFormatting sqref="U232">
    <cfRule type="duplicateValues" dxfId="3" priority="5"/>
  </conditionalFormatting>
  <conditionalFormatting sqref="V1:V1048576">
    <cfRule type="duplicateValues" dxfId="2" priority="30"/>
  </conditionalFormatting>
  <conditionalFormatting sqref="U260">
    <cfRule type="duplicateValues" dxfId="1" priority="2"/>
  </conditionalFormatting>
  <conditionalFormatting sqref="U381">
    <cfRule type="duplicateValues" dxfId="0" priority="1"/>
  </conditionalFormatting>
  <dataValidations count="2">
    <dataValidation type="list" allowBlank="1" showInputMessage="1" showErrorMessage="1" sqref="D324:D360 D2:D322 D362:D515" xr:uid="{122027A3-D44F-4A58-8261-EDE29778E211}">
      <formula1>"智慧校园,大数据,电力绿智食堂,设备采购,物联,信创,一卡通,智慧后勤,智慧教室,总包"</formula1>
    </dataValidation>
    <dataValidation type="list" allowBlank="1" showInputMessage="1" showErrorMessage="1" sqref="M2:M10121" xr:uid="{C4415C0C-F4B9-45D9-BEA1-FBFF0477D249}">
      <formula1>"交流,支持,常态化跟进,强跟进,申报,方案,控标,中标,已签单,项目停止,放弃,丢标,废标,流标"</formula1>
    </dataValidation>
  </dataValidations>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DF95E-1B21-4AE2-A44A-E37705329CD6}">
  <dimension ref="A1:D1119"/>
  <sheetViews>
    <sheetView showGridLines="0" zoomScale="130" zoomScaleNormal="130" workbookViewId="0">
      <pane ySplit="1" topLeftCell="A872" activePane="bottomLeft" state="frozen"/>
      <selection pane="bottomLeft" activeCell="B884" sqref="B884:B910"/>
    </sheetView>
  </sheetViews>
  <sheetFormatPr defaultRowHeight="14" x14ac:dyDescent="0.25"/>
  <cols>
    <col min="1" max="1" width="5.26953125" style="1" customWidth="1"/>
    <col min="2" max="2" width="151.36328125" customWidth="1"/>
    <col min="3" max="3" width="12.6328125" style="32" bestFit="1" customWidth="1"/>
    <col min="4" max="4" width="23" style="32" customWidth="1"/>
  </cols>
  <sheetData>
    <row r="1" spans="1:4" s="50" customFormat="1" ht="20" customHeight="1" x14ac:dyDescent="0.25">
      <c r="A1" s="36" t="s">
        <v>0</v>
      </c>
      <c r="B1" s="36" t="s">
        <v>693</v>
      </c>
      <c r="C1" s="49" t="s">
        <v>694</v>
      </c>
      <c r="D1" s="49" t="s">
        <v>384</v>
      </c>
    </row>
    <row r="2" spans="1:4" x14ac:dyDescent="0.25">
      <c r="A2" s="3">
        <f>SUBTOTAL(103,B$2:B2)*1</f>
        <v>1</v>
      </c>
      <c r="B2" s="37" t="s">
        <v>686</v>
      </c>
      <c r="C2" s="38">
        <v>45797</v>
      </c>
      <c r="D2" s="38"/>
    </row>
    <row r="3" spans="1:4" x14ac:dyDescent="0.25">
      <c r="A3" s="3">
        <f>SUBTOTAL(103,B$2:B3)*1</f>
        <v>2</v>
      </c>
      <c r="B3" s="37" t="s">
        <v>687</v>
      </c>
      <c r="C3" s="38">
        <v>45797</v>
      </c>
      <c r="D3" s="38"/>
    </row>
    <row r="4" spans="1:4" x14ac:dyDescent="0.25">
      <c r="A4" s="3">
        <f>SUBTOTAL(103,B$2:B4)*1</f>
        <v>3</v>
      </c>
      <c r="B4" s="37" t="s">
        <v>688</v>
      </c>
      <c r="C4" s="38">
        <v>45797</v>
      </c>
      <c r="D4" s="38"/>
    </row>
    <row r="5" spans="1:4" x14ac:dyDescent="0.25">
      <c r="A5" s="3">
        <f>SUBTOTAL(103,B$2:B5)*1</f>
        <v>4</v>
      </c>
      <c r="B5" s="37" t="s">
        <v>689</v>
      </c>
      <c r="C5" s="38">
        <v>45797</v>
      </c>
      <c r="D5" s="38"/>
    </row>
    <row r="6" spans="1:4" x14ac:dyDescent="0.25">
      <c r="A6" s="3">
        <f>SUBTOTAL(103,B$2:B6)*1</f>
        <v>5</v>
      </c>
      <c r="B6" s="37" t="s">
        <v>690</v>
      </c>
      <c r="C6" s="38">
        <v>45797</v>
      </c>
      <c r="D6" s="38"/>
    </row>
    <row r="7" spans="1:4" x14ac:dyDescent="0.25">
      <c r="A7" s="3">
        <f>SUBTOTAL(103,B$2:B7)*1</f>
        <v>6</v>
      </c>
      <c r="B7" s="37" t="s">
        <v>691</v>
      </c>
      <c r="C7" s="38">
        <v>45797</v>
      </c>
      <c r="D7" s="38"/>
    </row>
    <row r="8" spans="1:4" x14ac:dyDescent="0.25">
      <c r="A8" s="3">
        <f>SUBTOTAL(103,B$2:B8)*1</f>
        <v>7</v>
      </c>
      <c r="B8" s="37" t="s">
        <v>692</v>
      </c>
      <c r="C8" s="38">
        <v>45797</v>
      </c>
      <c r="D8" s="38"/>
    </row>
    <row r="9" spans="1:4" x14ac:dyDescent="0.25">
      <c r="A9" s="3">
        <f>SUBTOTAL(103,B$2:B9)*1</f>
        <v>8</v>
      </c>
      <c r="B9" s="37" t="s">
        <v>669</v>
      </c>
      <c r="C9" s="38">
        <v>45797</v>
      </c>
      <c r="D9" s="38"/>
    </row>
    <row r="10" spans="1:4" x14ac:dyDescent="0.25">
      <c r="A10" s="3">
        <f>SUBTOTAL(103,B$2:B10)*1</f>
        <v>9</v>
      </c>
      <c r="B10" s="37" t="s">
        <v>670</v>
      </c>
      <c r="C10" s="38">
        <v>45797</v>
      </c>
      <c r="D10" s="38"/>
    </row>
    <row r="11" spans="1:4" x14ac:dyDescent="0.25">
      <c r="A11" s="3">
        <f>SUBTOTAL(103,B$2:B11)*1</f>
        <v>10</v>
      </c>
      <c r="B11" s="37" t="s">
        <v>671</v>
      </c>
      <c r="C11" s="38">
        <v>45797</v>
      </c>
      <c r="D11" s="38"/>
    </row>
    <row r="12" spans="1:4" x14ac:dyDescent="0.25">
      <c r="A12" s="3">
        <f>SUBTOTAL(103,B$2:B12)*1</f>
        <v>11</v>
      </c>
      <c r="B12" s="37" t="s">
        <v>672</v>
      </c>
      <c r="C12" s="38">
        <v>45797</v>
      </c>
      <c r="D12" s="38"/>
    </row>
    <row r="13" spans="1:4" x14ac:dyDescent="0.25">
      <c r="A13" s="3">
        <f>SUBTOTAL(103,B$2:B13)*1</f>
        <v>12</v>
      </c>
      <c r="B13" s="37" t="s">
        <v>673</v>
      </c>
      <c r="C13" s="38">
        <v>45797</v>
      </c>
      <c r="D13" s="38"/>
    </row>
    <row r="14" spans="1:4" x14ac:dyDescent="0.25">
      <c r="A14" s="3">
        <f>SUBTOTAL(103,B$2:B14)*1</f>
        <v>13</v>
      </c>
      <c r="B14" s="37" t="s">
        <v>674</v>
      </c>
      <c r="C14" s="38">
        <v>45797</v>
      </c>
      <c r="D14" s="38"/>
    </row>
    <row r="15" spans="1:4" x14ac:dyDescent="0.25">
      <c r="A15" s="3">
        <f>SUBTOTAL(103,B$2:B15)*1</f>
        <v>14</v>
      </c>
      <c r="B15" s="37" t="s">
        <v>675</v>
      </c>
      <c r="C15" s="38">
        <v>45797</v>
      </c>
      <c r="D15" s="38"/>
    </row>
    <row r="16" spans="1:4" x14ac:dyDescent="0.25">
      <c r="A16" s="3">
        <f>SUBTOTAL(103,B$2:B16)*1</f>
        <v>15</v>
      </c>
      <c r="B16" s="37" t="s">
        <v>676</v>
      </c>
      <c r="C16" s="38">
        <v>45797</v>
      </c>
      <c r="D16" s="38"/>
    </row>
    <row r="17" spans="1:4" x14ac:dyDescent="0.25">
      <c r="A17" s="3">
        <f>SUBTOTAL(103,B$2:B17)*1</f>
        <v>16</v>
      </c>
      <c r="B17" s="37" t="s">
        <v>677</v>
      </c>
      <c r="C17" s="38">
        <v>45797</v>
      </c>
      <c r="D17" s="38"/>
    </row>
    <row r="18" spans="1:4" x14ac:dyDescent="0.25">
      <c r="A18" s="3">
        <f>SUBTOTAL(103,B$2:B18)*1</f>
        <v>17</v>
      </c>
      <c r="B18" s="37" t="s">
        <v>678</v>
      </c>
      <c r="C18" s="38">
        <v>45797</v>
      </c>
      <c r="D18" s="38"/>
    </row>
    <row r="19" spans="1:4" x14ac:dyDescent="0.25">
      <c r="A19" s="3">
        <f>SUBTOTAL(103,B$2:B19)*1</f>
        <v>18</v>
      </c>
      <c r="B19" s="37" t="s">
        <v>679</v>
      </c>
      <c r="C19" s="38">
        <v>45797</v>
      </c>
      <c r="D19" s="38"/>
    </row>
    <row r="20" spans="1:4" x14ac:dyDescent="0.25">
      <c r="A20" s="3">
        <f>SUBTOTAL(103,B$2:B20)*1</f>
        <v>19</v>
      </c>
      <c r="B20" s="37" t="s">
        <v>680</v>
      </c>
      <c r="C20" s="38">
        <v>45797</v>
      </c>
      <c r="D20" s="38"/>
    </row>
    <row r="21" spans="1:4" x14ac:dyDescent="0.25">
      <c r="A21" s="3">
        <f>SUBTOTAL(103,B$2:B21)*1</f>
        <v>20</v>
      </c>
      <c r="B21" s="37" t="s">
        <v>681</v>
      </c>
      <c r="C21" s="38">
        <v>45797</v>
      </c>
      <c r="D21" s="38"/>
    </row>
    <row r="22" spans="1:4" x14ac:dyDescent="0.25">
      <c r="A22" s="3">
        <f>SUBTOTAL(103,B$2:B22)*1</f>
        <v>21</v>
      </c>
      <c r="B22" s="37" t="s">
        <v>682</v>
      </c>
      <c r="C22" s="38">
        <v>45797</v>
      </c>
      <c r="D22" s="38"/>
    </row>
    <row r="23" spans="1:4" x14ac:dyDescent="0.25">
      <c r="A23" s="3">
        <f>SUBTOTAL(103,B$2:B23)*1</f>
        <v>22</v>
      </c>
      <c r="B23" s="37" t="s">
        <v>683</v>
      </c>
      <c r="C23" s="38">
        <v>45797</v>
      </c>
      <c r="D23" s="38"/>
    </row>
    <row r="24" spans="1:4" x14ac:dyDescent="0.25">
      <c r="A24" s="3">
        <f>SUBTOTAL(103,B$2:B24)*1</f>
        <v>23</v>
      </c>
      <c r="B24" s="37" t="s">
        <v>684</v>
      </c>
      <c r="C24" s="38">
        <v>45797</v>
      </c>
      <c r="D24" s="38"/>
    </row>
    <row r="25" spans="1:4" x14ac:dyDescent="0.25">
      <c r="A25" s="3">
        <f>SUBTOTAL(103,B$2:B25)*1</f>
        <v>24</v>
      </c>
      <c r="B25" s="37" t="s">
        <v>685</v>
      </c>
      <c r="C25" s="38">
        <v>45797</v>
      </c>
      <c r="D25" s="38"/>
    </row>
    <row r="26" spans="1:4" x14ac:dyDescent="0.25">
      <c r="A26" s="3">
        <f>SUBTOTAL(103,B$2:B26)*1</f>
        <v>25</v>
      </c>
      <c r="B26" s="39" t="s">
        <v>701</v>
      </c>
      <c r="C26" s="38">
        <v>45802</v>
      </c>
      <c r="D26" s="38"/>
    </row>
    <row r="27" spans="1:4" x14ac:dyDescent="0.25">
      <c r="A27" s="3">
        <f>SUBTOTAL(103,B$2:B27)*1</f>
        <v>26</v>
      </c>
      <c r="B27" s="39" t="s">
        <v>706</v>
      </c>
      <c r="C27" s="38">
        <v>45802</v>
      </c>
      <c r="D27" s="38"/>
    </row>
    <row r="28" spans="1:4" x14ac:dyDescent="0.25">
      <c r="A28" s="3">
        <f>SUBTOTAL(103,B$2:B28)*1</f>
        <v>27</v>
      </c>
      <c r="B28" s="39" t="s">
        <v>708</v>
      </c>
      <c r="C28" s="38">
        <v>45802</v>
      </c>
      <c r="D28" s="38"/>
    </row>
    <row r="29" spans="1:4" x14ac:dyDescent="0.25">
      <c r="A29" s="3">
        <f>SUBTOTAL(103,B$2:B29)*1</f>
        <v>28</v>
      </c>
      <c r="B29" s="39" t="s">
        <v>709</v>
      </c>
      <c r="C29" s="38">
        <v>45802</v>
      </c>
      <c r="D29" s="38"/>
    </row>
    <row r="30" spans="1:4" x14ac:dyDescent="0.25">
      <c r="A30" s="3">
        <f>SUBTOTAL(103,B$2:B30)*1</f>
        <v>29</v>
      </c>
      <c r="B30" s="39" t="s">
        <v>711</v>
      </c>
      <c r="C30" s="38">
        <v>45802</v>
      </c>
      <c r="D30" s="38"/>
    </row>
    <row r="31" spans="1:4" x14ac:dyDescent="0.25">
      <c r="A31" s="3">
        <f>SUBTOTAL(103,B$2:B31)*1</f>
        <v>30</v>
      </c>
      <c r="B31" s="37" t="s">
        <v>699</v>
      </c>
      <c r="C31" s="38">
        <v>45802</v>
      </c>
      <c r="D31" s="38"/>
    </row>
    <row r="32" spans="1:4" x14ac:dyDescent="0.25">
      <c r="A32" s="3">
        <f>SUBTOTAL(103,B$2:B32)*1</f>
        <v>31</v>
      </c>
      <c r="B32" s="37" t="s">
        <v>700</v>
      </c>
      <c r="C32" s="38">
        <v>45802</v>
      </c>
      <c r="D32" s="38"/>
    </row>
    <row r="33" spans="1:4" x14ac:dyDescent="0.25">
      <c r="A33" s="3">
        <f>SUBTOTAL(103,B$2:B33)*1</f>
        <v>32</v>
      </c>
      <c r="B33" s="39" t="s">
        <v>713</v>
      </c>
      <c r="C33" s="38">
        <v>45802</v>
      </c>
      <c r="D33" s="38"/>
    </row>
    <row r="34" spans="1:4" x14ac:dyDescent="0.25">
      <c r="A34" s="3">
        <f>SUBTOTAL(103,B$2:B34)*1</f>
        <v>33</v>
      </c>
      <c r="B34" s="39" t="s">
        <v>714</v>
      </c>
      <c r="C34" s="38">
        <v>45802</v>
      </c>
      <c r="D34" s="38"/>
    </row>
    <row r="35" spans="1:4" x14ac:dyDescent="0.25">
      <c r="A35" s="3">
        <f>SUBTOTAL(103,B$2:B35)*1</f>
        <v>34</v>
      </c>
      <c r="B35" s="39" t="s">
        <v>717</v>
      </c>
      <c r="C35" s="38">
        <v>45802</v>
      </c>
      <c r="D35" s="38"/>
    </row>
    <row r="36" spans="1:4" x14ac:dyDescent="0.25">
      <c r="A36" s="3">
        <f>SUBTOTAL(103,B$2:B36)*1</f>
        <v>35</v>
      </c>
      <c r="B36" s="39" t="s">
        <v>718</v>
      </c>
      <c r="C36" s="38">
        <v>45802</v>
      </c>
      <c r="D36" s="38"/>
    </row>
    <row r="37" spans="1:4" x14ac:dyDescent="0.25">
      <c r="A37" s="3">
        <f>SUBTOTAL(103,B$2:B37)*1</f>
        <v>36</v>
      </c>
      <c r="B37" s="39" t="s">
        <v>719</v>
      </c>
      <c r="C37" s="38">
        <v>45802</v>
      </c>
      <c r="D37" s="38"/>
    </row>
    <row r="38" spans="1:4" x14ac:dyDescent="0.25">
      <c r="A38" s="3">
        <f>SUBTOTAL(103,B$2:B38)*1</f>
        <v>37</v>
      </c>
      <c r="B38" s="39" t="s">
        <v>721</v>
      </c>
      <c r="C38" s="38">
        <v>45802</v>
      </c>
      <c r="D38" s="38"/>
    </row>
    <row r="39" spans="1:4" x14ac:dyDescent="0.25">
      <c r="A39" s="3">
        <f>SUBTOTAL(103,B$2:B39)*1</f>
        <v>38</v>
      </c>
      <c r="B39" s="43" t="s">
        <v>724</v>
      </c>
      <c r="C39" s="38">
        <v>45802</v>
      </c>
      <c r="D39" s="38"/>
    </row>
    <row r="40" spans="1:4" x14ac:dyDescent="0.25">
      <c r="A40" s="3">
        <f>SUBTOTAL(103,B$2:B40)*1</f>
        <v>39</v>
      </c>
      <c r="B40" s="39" t="s">
        <v>725</v>
      </c>
      <c r="C40" s="38">
        <v>45802</v>
      </c>
      <c r="D40" s="38"/>
    </row>
    <row r="41" spans="1:4" x14ac:dyDescent="0.25">
      <c r="A41" s="3">
        <f>SUBTOTAL(103,B$2:B41)*1</f>
        <v>40</v>
      </c>
      <c r="B41" s="39" t="s">
        <v>726</v>
      </c>
      <c r="C41" s="38">
        <v>45802</v>
      </c>
      <c r="D41" s="38"/>
    </row>
    <row r="42" spans="1:4" x14ac:dyDescent="0.25">
      <c r="A42" s="3">
        <f>SUBTOTAL(103,B$2:B42)*1</f>
        <v>41</v>
      </c>
      <c r="B42" s="40" t="s">
        <v>695</v>
      </c>
      <c r="C42" s="38">
        <v>45802</v>
      </c>
      <c r="D42" s="38"/>
    </row>
    <row r="43" spans="1:4" x14ac:dyDescent="0.25">
      <c r="A43" s="3">
        <f>SUBTOTAL(103,B$2:B43)*1</f>
        <v>42</v>
      </c>
      <c r="B43" s="37" t="s">
        <v>696</v>
      </c>
      <c r="C43" s="38">
        <v>45802</v>
      </c>
      <c r="D43" s="38"/>
    </row>
    <row r="44" spans="1:4" x14ac:dyDescent="0.25">
      <c r="A44" s="3">
        <f>SUBTOTAL(103,B$2:B44)*1</f>
        <v>43</v>
      </c>
      <c r="B44" s="37" t="s">
        <v>697</v>
      </c>
      <c r="C44" s="38">
        <v>45802</v>
      </c>
      <c r="D44" s="38"/>
    </row>
    <row r="45" spans="1:4" x14ac:dyDescent="0.25">
      <c r="A45" s="3">
        <f>SUBTOTAL(103,B$2:B45)*1</f>
        <v>44</v>
      </c>
      <c r="B45" s="39" t="s">
        <v>727</v>
      </c>
      <c r="C45" s="38">
        <v>45802</v>
      </c>
      <c r="D45" s="38"/>
    </row>
    <row r="46" spans="1:4" x14ac:dyDescent="0.25">
      <c r="A46" s="3">
        <f>SUBTOTAL(103,B$2:B46)*1</f>
        <v>45</v>
      </c>
      <c r="B46" s="39" t="s">
        <v>729</v>
      </c>
      <c r="C46" s="38">
        <v>45802</v>
      </c>
      <c r="D46" s="38"/>
    </row>
    <row r="47" spans="1:4" x14ac:dyDescent="0.25">
      <c r="A47" s="3">
        <f>SUBTOTAL(103,B$2:B47)*1</f>
        <v>46</v>
      </c>
      <c r="B47" s="39" t="s">
        <v>730</v>
      </c>
      <c r="C47" s="38">
        <v>45802</v>
      </c>
      <c r="D47" s="38"/>
    </row>
    <row r="48" spans="1:4" x14ac:dyDescent="0.25">
      <c r="A48" s="3">
        <f>SUBTOTAL(103,B$2:B48)*1</f>
        <v>47</v>
      </c>
      <c r="B48" s="37" t="s">
        <v>698</v>
      </c>
      <c r="C48" s="38">
        <v>45802</v>
      </c>
      <c r="D48" s="38"/>
    </row>
    <row r="49" spans="1:4" x14ac:dyDescent="0.25">
      <c r="A49" s="3">
        <f>SUBTOTAL(103,B$2:B49)*1</f>
        <v>48</v>
      </c>
      <c r="B49" s="39" t="s">
        <v>740</v>
      </c>
      <c r="C49" s="38">
        <v>45810</v>
      </c>
      <c r="D49" s="38"/>
    </row>
    <row r="50" spans="1:4" x14ac:dyDescent="0.25">
      <c r="A50" s="3">
        <f>SUBTOTAL(103,B$2:B50)*1</f>
        <v>49</v>
      </c>
      <c r="B50" s="39" t="s">
        <v>741</v>
      </c>
      <c r="C50" s="38">
        <v>45810</v>
      </c>
      <c r="D50" s="38"/>
    </row>
    <row r="51" spans="1:4" x14ac:dyDescent="0.25">
      <c r="A51" s="3">
        <f>SUBTOTAL(103,B$2:B51)*1</f>
        <v>50</v>
      </c>
      <c r="B51" s="39" t="s">
        <v>742</v>
      </c>
      <c r="C51" s="38">
        <v>45810</v>
      </c>
      <c r="D51" s="38"/>
    </row>
    <row r="52" spans="1:4" x14ac:dyDescent="0.25">
      <c r="A52" s="3">
        <f>SUBTOTAL(103,B$2:B52)*1</f>
        <v>51</v>
      </c>
      <c r="B52" s="39" t="s">
        <v>743</v>
      </c>
      <c r="C52" s="38">
        <v>45810</v>
      </c>
      <c r="D52" s="38"/>
    </row>
    <row r="53" spans="1:4" x14ac:dyDescent="0.25">
      <c r="A53" s="3">
        <f>SUBTOTAL(103,B$2:B53)*1</f>
        <v>52</v>
      </c>
      <c r="B53" s="39" t="s">
        <v>749</v>
      </c>
      <c r="C53" s="38">
        <v>45810</v>
      </c>
      <c r="D53" s="38"/>
    </row>
    <row r="54" spans="1:4" x14ac:dyDescent="0.25">
      <c r="A54" s="3">
        <f>SUBTOTAL(103,B$2:B54)*1</f>
        <v>53</v>
      </c>
      <c r="B54" s="39" t="s">
        <v>751</v>
      </c>
      <c r="C54" s="38">
        <v>45810</v>
      </c>
      <c r="D54" s="38"/>
    </row>
    <row r="55" spans="1:4" x14ac:dyDescent="0.25">
      <c r="A55" s="3">
        <f>SUBTOTAL(103,B$2:B55)*1</f>
        <v>54</v>
      </c>
      <c r="B55" s="39" t="s">
        <v>752</v>
      </c>
      <c r="C55" s="38">
        <v>45810</v>
      </c>
      <c r="D55" s="38"/>
    </row>
    <row r="56" spans="1:4" x14ac:dyDescent="0.25">
      <c r="A56" s="3">
        <f>SUBTOTAL(103,B$2:B56)*1</f>
        <v>55</v>
      </c>
      <c r="B56" s="39" t="s">
        <v>753</v>
      </c>
      <c r="C56" s="38">
        <v>45810</v>
      </c>
      <c r="D56" s="38"/>
    </row>
    <row r="57" spans="1:4" x14ac:dyDescent="0.25">
      <c r="A57" s="3">
        <f>SUBTOTAL(103,B$2:B57)*1</f>
        <v>56</v>
      </c>
      <c r="B57" s="39" t="s">
        <v>756</v>
      </c>
      <c r="C57" s="38">
        <v>45810</v>
      </c>
      <c r="D57" s="38"/>
    </row>
    <row r="58" spans="1:4" x14ac:dyDescent="0.25">
      <c r="A58" s="3">
        <f>SUBTOTAL(103,B$2:B58)*1</f>
        <v>57</v>
      </c>
      <c r="B58" s="39" t="s">
        <v>759</v>
      </c>
      <c r="C58" s="38">
        <v>45810</v>
      </c>
      <c r="D58" s="38"/>
    </row>
    <row r="59" spans="1:4" x14ac:dyDescent="0.25">
      <c r="A59" s="3">
        <f>SUBTOTAL(103,B$2:B59)*1</f>
        <v>58</v>
      </c>
      <c r="B59" s="39" t="s">
        <v>760</v>
      </c>
      <c r="C59" s="38">
        <v>45810</v>
      </c>
      <c r="D59" s="38"/>
    </row>
    <row r="60" spans="1:4" x14ac:dyDescent="0.25">
      <c r="A60" s="3">
        <f>SUBTOTAL(103,B$2:B60)*1</f>
        <v>59</v>
      </c>
      <c r="B60" s="39" t="s">
        <v>761</v>
      </c>
      <c r="C60" s="38">
        <v>45810</v>
      </c>
      <c r="D60" s="38"/>
    </row>
    <row r="61" spans="1:4" x14ac:dyDescent="0.25">
      <c r="A61" s="3">
        <f>SUBTOTAL(103,B$2:B61)*1</f>
        <v>60</v>
      </c>
      <c r="B61" s="39" t="s">
        <v>764</v>
      </c>
      <c r="C61" s="38">
        <v>45810</v>
      </c>
      <c r="D61" s="38"/>
    </row>
    <row r="62" spans="1:4" x14ac:dyDescent="0.25">
      <c r="A62" s="3">
        <f>SUBTOTAL(103,B$2:B62)*1</f>
        <v>61</v>
      </c>
      <c r="B62" s="39" t="s">
        <v>768</v>
      </c>
      <c r="C62" s="38">
        <v>45810</v>
      </c>
      <c r="D62" s="38"/>
    </row>
    <row r="63" spans="1:4" x14ac:dyDescent="0.25">
      <c r="A63" s="3">
        <f>SUBTOTAL(103,B$2:B63)*1</f>
        <v>62</v>
      </c>
      <c r="B63" s="39" t="s">
        <v>769</v>
      </c>
      <c r="C63" s="38">
        <v>45810</v>
      </c>
      <c r="D63" s="38"/>
    </row>
    <row r="64" spans="1:4" x14ac:dyDescent="0.25">
      <c r="A64" s="3">
        <f>SUBTOTAL(103,B$2:B64)*1</f>
        <v>63</v>
      </c>
      <c r="B64" s="39" t="s">
        <v>772</v>
      </c>
      <c r="C64" s="38">
        <v>45810</v>
      </c>
      <c r="D64" s="38"/>
    </row>
    <row r="65" spans="1:4" x14ac:dyDescent="0.25">
      <c r="A65" s="3">
        <f>SUBTOTAL(103,B$2:B65)*1</f>
        <v>64</v>
      </c>
      <c r="B65" s="39" t="s">
        <v>773</v>
      </c>
      <c r="C65" s="38">
        <v>45810</v>
      </c>
      <c r="D65" s="38"/>
    </row>
    <row r="66" spans="1:4" x14ac:dyDescent="0.25">
      <c r="A66" s="3">
        <f>SUBTOTAL(103,B$2:B66)*1</f>
        <v>65</v>
      </c>
      <c r="B66" s="39" t="s">
        <v>775</v>
      </c>
      <c r="C66" s="38">
        <v>45810</v>
      </c>
      <c r="D66" s="38"/>
    </row>
    <row r="67" spans="1:4" x14ac:dyDescent="0.25">
      <c r="A67" s="3">
        <f>SUBTOTAL(103,B$2:B67)*1</f>
        <v>66</v>
      </c>
      <c r="B67" s="39" t="s">
        <v>776</v>
      </c>
      <c r="C67" s="38">
        <v>45810</v>
      </c>
      <c r="D67" s="38"/>
    </row>
    <row r="68" spans="1:4" x14ac:dyDescent="0.25">
      <c r="A68" s="3">
        <f>SUBTOTAL(103,B$2:B68)*1</f>
        <v>67</v>
      </c>
      <c r="B68" s="39" t="s">
        <v>779</v>
      </c>
      <c r="C68" s="38">
        <v>45810</v>
      </c>
      <c r="D68" s="38"/>
    </row>
    <row r="69" spans="1:4" x14ac:dyDescent="0.25">
      <c r="A69" s="3">
        <f>SUBTOTAL(103,B$2:B69)*1</f>
        <v>68</v>
      </c>
      <c r="B69" s="39" t="s">
        <v>780</v>
      </c>
      <c r="C69" s="38">
        <v>45810</v>
      </c>
      <c r="D69" s="38"/>
    </row>
    <row r="70" spans="1:4" x14ac:dyDescent="0.25">
      <c r="A70" s="3">
        <f>SUBTOTAL(103,B$2:B70)*1</f>
        <v>69</v>
      </c>
      <c r="B70" s="39" t="s">
        <v>781</v>
      </c>
      <c r="C70" s="38">
        <v>45810</v>
      </c>
      <c r="D70" s="38"/>
    </row>
    <row r="71" spans="1:4" x14ac:dyDescent="0.25">
      <c r="A71" s="3">
        <f>SUBTOTAL(103,B$2:B71)*1</f>
        <v>70</v>
      </c>
      <c r="B71" s="43" t="s">
        <v>739</v>
      </c>
      <c r="C71" s="38">
        <v>45810</v>
      </c>
      <c r="D71" s="38"/>
    </row>
    <row r="72" spans="1:4" x14ac:dyDescent="0.25">
      <c r="A72" s="3">
        <f>SUBTOTAL(103,B$2:B72)*1</f>
        <v>71</v>
      </c>
      <c r="B72" s="41" t="s">
        <v>788</v>
      </c>
      <c r="C72" s="38">
        <v>45816</v>
      </c>
      <c r="D72" s="38"/>
    </row>
    <row r="73" spans="1:4" x14ac:dyDescent="0.25">
      <c r="A73" s="3">
        <f>SUBTOTAL(103,B$2:B73)*1</f>
        <v>72</v>
      </c>
      <c r="B73" s="43" t="s">
        <v>793</v>
      </c>
      <c r="C73" s="38">
        <v>45816</v>
      </c>
      <c r="D73" s="38"/>
    </row>
    <row r="74" spans="1:4" x14ac:dyDescent="0.25">
      <c r="A74" s="3">
        <f>SUBTOTAL(103,B$2:B74)*1</f>
        <v>73</v>
      </c>
      <c r="B74" s="43" t="s">
        <v>784</v>
      </c>
      <c r="C74" s="38">
        <v>45816</v>
      </c>
      <c r="D74" s="38"/>
    </row>
    <row r="75" spans="1:4" ht="28" x14ac:dyDescent="0.25">
      <c r="A75" s="3">
        <f>SUBTOTAL(103,B$2:B75)*1</f>
        <v>74</v>
      </c>
      <c r="B75" s="41" t="s">
        <v>809</v>
      </c>
      <c r="C75" s="38">
        <v>45816</v>
      </c>
      <c r="D75" s="38"/>
    </row>
    <row r="76" spans="1:4" x14ac:dyDescent="0.25">
      <c r="A76" s="3">
        <f>SUBTOTAL(103,B$2:B76)*1</f>
        <v>75</v>
      </c>
      <c r="B76" s="43" t="s">
        <v>810</v>
      </c>
      <c r="C76" s="38">
        <v>45816</v>
      </c>
      <c r="D76" s="38"/>
    </row>
    <row r="77" spans="1:4" x14ac:dyDescent="0.25">
      <c r="A77" s="3">
        <f>SUBTOTAL(103,B$2:B77)*1</f>
        <v>76</v>
      </c>
      <c r="B77" s="39" t="s">
        <v>789</v>
      </c>
      <c r="C77" s="38">
        <v>45816</v>
      </c>
      <c r="D77" s="38"/>
    </row>
    <row r="78" spans="1:4" x14ac:dyDescent="0.25">
      <c r="A78" s="3">
        <f>SUBTOTAL(103,B$2:B78)*1</f>
        <v>77</v>
      </c>
      <c r="B78" s="37" t="s">
        <v>785</v>
      </c>
      <c r="C78" s="38">
        <v>45816</v>
      </c>
      <c r="D78" s="38"/>
    </row>
    <row r="79" spans="1:4" x14ac:dyDescent="0.25">
      <c r="A79" s="3">
        <f>SUBTOTAL(103,B$2:B79)*1</f>
        <v>78</v>
      </c>
      <c r="B79" s="37" t="s">
        <v>786</v>
      </c>
      <c r="C79" s="38">
        <v>45816</v>
      </c>
      <c r="D79" s="38"/>
    </row>
    <row r="80" spans="1:4" x14ac:dyDescent="0.25">
      <c r="A80" s="3">
        <f>SUBTOTAL(103,B$2:B80)*1</f>
        <v>79</v>
      </c>
      <c r="B80" s="37" t="s">
        <v>787</v>
      </c>
      <c r="C80" s="38">
        <v>45816</v>
      </c>
      <c r="D80" s="38"/>
    </row>
    <row r="81" spans="1:4" x14ac:dyDescent="0.25">
      <c r="A81" s="3">
        <f>SUBTOTAL(103,B$2:B81)*1</f>
        <v>80</v>
      </c>
      <c r="B81" s="39" t="s">
        <v>792</v>
      </c>
      <c r="C81" s="38">
        <v>45816</v>
      </c>
      <c r="D81" s="38"/>
    </row>
    <row r="82" spans="1:4" x14ac:dyDescent="0.25">
      <c r="A82" s="3">
        <f>SUBTOTAL(103,B$2:B82)*1</f>
        <v>81</v>
      </c>
      <c r="B82" s="39" t="s">
        <v>795</v>
      </c>
      <c r="C82" s="38">
        <v>45816</v>
      </c>
      <c r="D82" s="38"/>
    </row>
    <row r="83" spans="1:4" x14ac:dyDescent="0.25">
      <c r="A83" s="3">
        <f>SUBTOTAL(103,B$2:B83)*1</f>
        <v>82</v>
      </c>
      <c r="B83" s="39" t="s">
        <v>794</v>
      </c>
      <c r="C83" s="38">
        <v>45816</v>
      </c>
      <c r="D83" s="38"/>
    </row>
    <row r="84" spans="1:4" x14ac:dyDescent="0.25">
      <c r="A84" s="3">
        <f>SUBTOTAL(103,B$2:B84)*1</f>
        <v>83</v>
      </c>
      <c r="B84" s="39" t="s">
        <v>791</v>
      </c>
      <c r="C84" s="38">
        <v>45816</v>
      </c>
      <c r="D84" s="38"/>
    </row>
    <row r="85" spans="1:4" x14ac:dyDescent="0.25">
      <c r="A85" s="3">
        <f>SUBTOTAL(103,B$2:B85)*1</f>
        <v>84</v>
      </c>
      <c r="B85" s="39" t="s">
        <v>811</v>
      </c>
      <c r="C85" s="38">
        <v>45823</v>
      </c>
      <c r="D85" s="38"/>
    </row>
    <row r="86" spans="1:4" x14ac:dyDescent="0.25">
      <c r="A86" s="3">
        <f>SUBTOTAL(103,B$2:B86)*1</f>
        <v>85</v>
      </c>
      <c r="B86" s="39" t="s">
        <v>812</v>
      </c>
      <c r="C86" s="38">
        <v>45823</v>
      </c>
      <c r="D86" s="38"/>
    </row>
    <row r="87" spans="1:4" x14ac:dyDescent="0.25">
      <c r="A87" s="3">
        <f>SUBTOTAL(103,B$2:B87)*1</f>
        <v>86</v>
      </c>
      <c r="B87" s="39" t="s">
        <v>813</v>
      </c>
      <c r="C87" s="38">
        <v>45823</v>
      </c>
      <c r="D87" s="38"/>
    </row>
    <row r="88" spans="1:4" x14ac:dyDescent="0.25">
      <c r="A88" s="3">
        <f>SUBTOTAL(103,B$2:B88)*1</f>
        <v>87</v>
      </c>
      <c r="B88" s="39" t="s">
        <v>814</v>
      </c>
      <c r="C88" s="38">
        <v>45823</v>
      </c>
      <c r="D88" s="38"/>
    </row>
    <row r="89" spans="1:4" x14ac:dyDescent="0.25">
      <c r="A89" s="3">
        <f>SUBTOTAL(103,B$2:B89)*1</f>
        <v>88</v>
      </c>
      <c r="B89" s="39" t="s">
        <v>815</v>
      </c>
      <c r="C89" s="38">
        <v>45823</v>
      </c>
      <c r="D89" s="38"/>
    </row>
    <row r="90" spans="1:4" x14ac:dyDescent="0.25">
      <c r="A90" s="3">
        <f>SUBTOTAL(103,B$2:B90)*1</f>
        <v>89</v>
      </c>
      <c r="B90" s="39" t="s">
        <v>816</v>
      </c>
      <c r="C90" s="38">
        <v>45823</v>
      </c>
      <c r="D90" s="38"/>
    </row>
    <row r="91" spans="1:4" x14ac:dyDescent="0.25">
      <c r="A91" s="3">
        <f>SUBTOTAL(103,B$2:B91)*1</f>
        <v>90</v>
      </c>
      <c r="B91" s="43" t="s">
        <v>817</v>
      </c>
      <c r="C91" s="38">
        <v>45823</v>
      </c>
      <c r="D91" s="38"/>
    </row>
    <row r="92" spans="1:4" x14ac:dyDescent="0.25">
      <c r="A92" s="3">
        <f>SUBTOTAL(103,B$2:B92)*1</f>
        <v>91</v>
      </c>
      <c r="B92" s="39" t="s">
        <v>818</v>
      </c>
      <c r="C92" s="38">
        <v>45823</v>
      </c>
      <c r="D92" s="38"/>
    </row>
    <row r="93" spans="1:4" x14ac:dyDescent="0.25">
      <c r="A93" s="3">
        <f>SUBTOTAL(103,B$2:B93)*1</f>
        <v>92</v>
      </c>
      <c r="B93" s="39" t="s">
        <v>819</v>
      </c>
      <c r="C93" s="38">
        <v>45823</v>
      </c>
      <c r="D93" s="38"/>
    </row>
    <row r="94" spans="1:4" x14ac:dyDescent="0.25">
      <c r="A94" s="3">
        <f>SUBTOTAL(103,B$2:B94)*1</f>
        <v>93</v>
      </c>
      <c r="B94" s="39" t="s">
        <v>820</v>
      </c>
      <c r="C94" s="38">
        <v>45823</v>
      </c>
      <c r="D94" s="38"/>
    </row>
    <row r="95" spans="1:4" x14ac:dyDescent="0.25">
      <c r="A95" s="3">
        <f>SUBTOTAL(103,B$2:B95)*1</f>
        <v>94</v>
      </c>
      <c r="B95" s="39" t="s">
        <v>821</v>
      </c>
      <c r="C95" s="38">
        <v>45823</v>
      </c>
      <c r="D95" s="38"/>
    </row>
    <row r="96" spans="1:4" x14ac:dyDescent="0.25">
      <c r="A96" s="3">
        <f>SUBTOTAL(103,B$2:B96)*1</f>
        <v>95</v>
      </c>
      <c r="B96" s="39" t="s">
        <v>822</v>
      </c>
      <c r="C96" s="38">
        <v>45823</v>
      </c>
      <c r="D96" s="38"/>
    </row>
    <row r="97" spans="1:4" x14ac:dyDescent="0.25">
      <c r="A97" s="3">
        <f>SUBTOTAL(103,B$2:B97)*1</f>
        <v>96</v>
      </c>
      <c r="B97" s="40" t="s">
        <v>823</v>
      </c>
      <c r="C97" s="38">
        <v>45823</v>
      </c>
      <c r="D97" s="38"/>
    </row>
    <row r="98" spans="1:4" x14ac:dyDescent="0.25">
      <c r="A98" s="3">
        <f>SUBTOTAL(103,B$2:B98)*1</f>
        <v>97</v>
      </c>
      <c r="B98" s="39" t="s">
        <v>824</v>
      </c>
      <c r="C98" s="38">
        <v>45823</v>
      </c>
      <c r="D98" s="38"/>
    </row>
    <row r="99" spans="1:4" x14ac:dyDescent="0.25">
      <c r="A99" s="3">
        <f>SUBTOTAL(103,B$2:B99)*1</f>
        <v>98</v>
      </c>
      <c r="B99" s="39" t="s">
        <v>825</v>
      </c>
      <c r="C99" s="38">
        <v>45823</v>
      </c>
      <c r="D99" s="38"/>
    </row>
    <row r="100" spans="1:4" x14ac:dyDescent="0.25">
      <c r="A100" s="3">
        <f>SUBTOTAL(103,B$2:B100)*1</f>
        <v>99</v>
      </c>
      <c r="B100" s="39" t="s">
        <v>826</v>
      </c>
      <c r="C100" s="38">
        <v>45823</v>
      </c>
      <c r="D100" s="38"/>
    </row>
    <row r="101" spans="1:4" x14ac:dyDescent="0.25">
      <c r="A101" s="3">
        <f>SUBTOTAL(103,B$2:B101)*1</f>
        <v>100</v>
      </c>
      <c r="B101" s="39" t="s">
        <v>827</v>
      </c>
      <c r="C101" s="38">
        <v>45823</v>
      </c>
      <c r="D101" s="38"/>
    </row>
    <row r="102" spans="1:4" x14ac:dyDescent="0.25">
      <c r="A102" s="3">
        <f>SUBTOTAL(103,B$2:B102)*1</f>
        <v>101</v>
      </c>
      <c r="B102" s="39" t="s">
        <v>828</v>
      </c>
      <c r="C102" s="38">
        <v>45823</v>
      </c>
      <c r="D102" s="38"/>
    </row>
    <row r="103" spans="1:4" x14ac:dyDescent="0.25">
      <c r="A103" s="3">
        <f>SUBTOTAL(103,B$2:B103)*1</f>
        <v>102</v>
      </c>
      <c r="B103" s="39" t="s">
        <v>829</v>
      </c>
      <c r="C103" s="38">
        <v>45823</v>
      </c>
      <c r="D103" s="38"/>
    </row>
    <row r="104" spans="1:4" x14ac:dyDescent="0.25">
      <c r="A104" s="3">
        <f>SUBTOTAL(103,B$2:B104)*1</f>
        <v>103</v>
      </c>
      <c r="B104" s="39" t="s">
        <v>830</v>
      </c>
      <c r="C104" s="38">
        <v>45823</v>
      </c>
      <c r="D104" s="38"/>
    </row>
    <row r="105" spans="1:4" x14ac:dyDescent="0.25">
      <c r="A105" s="3">
        <f>SUBTOTAL(103,B$2:B105)*1</f>
        <v>104</v>
      </c>
      <c r="B105" s="39" t="s">
        <v>831</v>
      </c>
      <c r="C105" s="38">
        <v>45823</v>
      </c>
      <c r="D105" s="38"/>
    </row>
    <row r="106" spans="1:4" x14ac:dyDescent="0.25">
      <c r="A106" s="3">
        <f>SUBTOTAL(103,B$2:B106)*1</f>
        <v>105</v>
      </c>
      <c r="B106" s="39" t="s">
        <v>832</v>
      </c>
      <c r="C106" s="38">
        <v>45823</v>
      </c>
      <c r="D106" s="38"/>
    </row>
    <row r="107" spans="1:4" x14ac:dyDescent="0.25">
      <c r="A107" s="3">
        <f>SUBTOTAL(103,B$2:B107)*1</f>
        <v>106</v>
      </c>
      <c r="B107" s="47" t="s">
        <v>895</v>
      </c>
      <c r="C107" s="38">
        <v>45830</v>
      </c>
      <c r="D107" s="38"/>
    </row>
    <row r="108" spans="1:4" x14ac:dyDescent="0.25">
      <c r="A108" s="3">
        <f>SUBTOTAL(103,B$2:B108)*1</f>
        <v>107</v>
      </c>
      <c r="B108" s="48" t="s">
        <v>896</v>
      </c>
      <c r="C108" s="38">
        <v>45830</v>
      </c>
      <c r="D108" s="38"/>
    </row>
    <row r="109" spans="1:4" x14ac:dyDescent="0.25">
      <c r="A109" s="3">
        <f>SUBTOTAL(103,B$2:B109)*1</f>
        <v>108</v>
      </c>
      <c r="B109" s="47" t="s">
        <v>897</v>
      </c>
      <c r="C109" s="38">
        <v>45830</v>
      </c>
      <c r="D109" s="38"/>
    </row>
    <row r="110" spans="1:4" x14ac:dyDescent="0.25">
      <c r="A110" s="3">
        <f>SUBTOTAL(103,B$2:B110)*1</f>
        <v>109</v>
      </c>
      <c r="B110" s="47" t="s">
        <v>898</v>
      </c>
      <c r="C110" s="38">
        <v>45830</v>
      </c>
      <c r="D110" s="38"/>
    </row>
    <row r="111" spans="1:4" x14ac:dyDescent="0.25">
      <c r="A111" s="3">
        <f>SUBTOTAL(103,B$2:B111)*1</f>
        <v>110</v>
      </c>
      <c r="B111" s="48" t="s">
        <v>899</v>
      </c>
      <c r="C111" s="38">
        <v>45830</v>
      </c>
      <c r="D111" s="38"/>
    </row>
    <row r="112" spans="1:4" x14ac:dyDescent="0.25">
      <c r="A112" s="3">
        <f>SUBTOTAL(103,B$2:B112)*1</f>
        <v>111</v>
      </c>
      <c r="B112" s="41" t="s">
        <v>900</v>
      </c>
      <c r="C112" s="38">
        <v>45830</v>
      </c>
      <c r="D112" s="38"/>
    </row>
    <row r="113" spans="1:4" x14ac:dyDescent="0.25">
      <c r="A113" s="3">
        <f>SUBTOTAL(103,B$2:B113)*1</f>
        <v>112</v>
      </c>
      <c r="B113" s="47" t="s">
        <v>901</v>
      </c>
      <c r="C113" s="38">
        <v>45830</v>
      </c>
      <c r="D113" s="38"/>
    </row>
    <row r="114" spans="1:4" x14ac:dyDescent="0.25">
      <c r="A114" s="3">
        <f>SUBTOTAL(103,B$2:B114)*1</f>
        <v>113</v>
      </c>
      <c r="B114" s="47" t="s">
        <v>902</v>
      </c>
      <c r="C114" s="38">
        <v>45830</v>
      </c>
      <c r="D114" s="38"/>
    </row>
    <row r="115" spans="1:4" ht="28" x14ac:dyDescent="0.25">
      <c r="A115" s="3">
        <f>SUBTOTAL(103,B$2:B115)*1</f>
        <v>114</v>
      </c>
      <c r="B115" s="47" t="s">
        <v>903</v>
      </c>
      <c r="C115" s="38">
        <v>45830</v>
      </c>
      <c r="D115" s="38"/>
    </row>
    <row r="116" spans="1:4" x14ac:dyDescent="0.25">
      <c r="A116" s="3">
        <f>SUBTOTAL(103,B$2:B116)*1</f>
        <v>115</v>
      </c>
      <c r="B116" s="47" t="s">
        <v>904</v>
      </c>
      <c r="C116" s="38">
        <v>45830</v>
      </c>
      <c r="D116" s="38"/>
    </row>
    <row r="117" spans="1:4" x14ac:dyDescent="0.25">
      <c r="A117" s="3">
        <f>SUBTOTAL(103,B$2:B117)*1</f>
        <v>116</v>
      </c>
      <c r="B117" s="47" t="s">
        <v>905</v>
      </c>
      <c r="C117" s="38">
        <v>45830</v>
      </c>
      <c r="D117" s="38"/>
    </row>
    <row r="118" spans="1:4" x14ac:dyDescent="0.25">
      <c r="A118" s="3">
        <f>SUBTOTAL(103,B$2:B118)*1</f>
        <v>117</v>
      </c>
      <c r="B118" s="47" t="s">
        <v>906</v>
      </c>
      <c r="C118" s="38">
        <v>45830</v>
      </c>
      <c r="D118" s="38"/>
    </row>
    <row r="119" spans="1:4" x14ac:dyDescent="0.25">
      <c r="A119" s="3">
        <f>SUBTOTAL(103,B$2:B119)*1</f>
        <v>118</v>
      </c>
      <c r="B119" s="47" t="s">
        <v>907</v>
      </c>
      <c r="C119" s="38">
        <v>45830</v>
      </c>
      <c r="D119" s="38"/>
    </row>
    <row r="120" spans="1:4" x14ac:dyDescent="0.25">
      <c r="A120" s="3">
        <f>SUBTOTAL(103,B$2:B120)*1</f>
        <v>119</v>
      </c>
      <c r="B120" s="47" t="s">
        <v>908</v>
      </c>
      <c r="C120" s="38">
        <v>45830</v>
      </c>
      <c r="D120" s="38"/>
    </row>
    <row r="121" spans="1:4" x14ac:dyDescent="0.25">
      <c r="A121" s="3">
        <f>SUBTOTAL(103,B$2:B121)*1</f>
        <v>120</v>
      </c>
      <c r="B121" s="47" t="s">
        <v>909</v>
      </c>
      <c r="C121" s="38">
        <v>45830</v>
      </c>
      <c r="D121" s="38"/>
    </row>
    <row r="122" spans="1:4" x14ac:dyDescent="0.25">
      <c r="A122" s="3">
        <f>SUBTOTAL(103,B$2:B122)*1</f>
        <v>121</v>
      </c>
      <c r="B122" s="47" t="s">
        <v>910</v>
      </c>
      <c r="C122" s="38">
        <v>45830</v>
      </c>
      <c r="D122" s="38"/>
    </row>
    <row r="123" spans="1:4" x14ac:dyDescent="0.25">
      <c r="A123" s="3">
        <f>SUBTOTAL(103,B$2:B123)*1</f>
        <v>122</v>
      </c>
      <c r="B123" s="47" t="s">
        <v>911</v>
      </c>
      <c r="C123" s="38">
        <v>45830</v>
      </c>
      <c r="D123" s="38"/>
    </row>
    <row r="124" spans="1:4" x14ac:dyDescent="0.25">
      <c r="A124" s="3">
        <f>SUBTOTAL(103,B$2:B124)*1</f>
        <v>123</v>
      </c>
      <c r="B124" s="47" t="s">
        <v>912</v>
      </c>
      <c r="C124" s="38">
        <v>45830</v>
      </c>
      <c r="D124" s="38"/>
    </row>
    <row r="125" spans="1:4" x14ac:dyDescent="0.25">
      <c r="A125" s="3">
        <f>SUBTOTAL(103,B$2:B125)*1</f>
        <v>124</v>
      </c>
      <c r="B125" s="47" t="s">
        <v>913</v>
      </c>
      <c r="C125" s="38">
        <v>45830</v>
      </c>
      <c r="D125" s="38"/>
    </row>
    <row r="126" spans="1:4" x14ac:dyDescent="0.25">
      <c r="A126" s="3">
        <f>SUBTOTAL(103,B$2:B126)*1</f>
        <v>125</v>
      </c>
      <c r="B126" s="47" t="s">
        <v>914</v>
      </c>
      <c r="C126" s="38">
        <v>45830</v>
      </c>
      <c r="D126" s="38"/>
    </row>
    <row r="127" spans="1:4" ht="42" x14ac:dyDescent="0.25">
      <c r="A127" s="3">
        <f>SUBTOTAL(103,B$2:B127)*1</f>
        <v>126</v>
      </c>
      <c r="B127" s="47" t="s">
        <v>915</v>
      </c>
      <c r="C127" s="38">
        <v>45830</v>
      </c>
      <c r="D127" s="38"/>
    </row>
    <row r="128" spans="1:4" x14ac:dyDescent="0.25">
      <c r="A128" s="3">
        <f>SUBTOTAL(103,B$2:B128)*1</f>
        <v>127</v>
      </c>
      <c r="B128" s="47" t="s">
        <v>916</v>
      </c>
      <c r="C128" s="38">
        <v>45830</v>
      </c>
      <c r="D128" s="38"/>
    </row>
    <row r="129" spans="1:4" x14ac:dyDescent="0.25">
      <c r="A129" s="3">
        <f>SUBTOTAL(103,B$2:B129)*1</f>
        <v>128</v>
      </c>
      <c r="B129" s="47" t="s">
        <v>917</v>
      </c>
      <c r="C129" s="38">
        <v>45830</v>
      </c>
      <c r="D129" s="38"/>
    </row>
    <row r="130" spans="1:4" x14ac:dyDescent="0.25">
      <c r="A130" s="3">
        <f>SUBTOTAL(103,B$2:B130)*1</f>
        <v>129</v>
      </c>
      <c r="B130" s="47" t="s">
        <v>918</v>
      </c>
      <c r="C130" s="38">
        <v>45830</v>
      </c>
      <c r="D130" s="38"/>
    </row>
    <row r="131" spans="1:4" x14ac:dyDescent="0.25">
      <c r="A131" s="3">
        <f>SUBTOTAL(103,B$2:B131)*1</f>
        <v>130</v>
      </c>
      <c r="B131" s="47" t="s">
        <v>919</v>
      </c>
      <c r="C131" s="38">
        <v>45830</v>
      </c>
      <c r="D131" s="38"/>
    </row>
    <row r="132" spans="1:4" x14ac:dyDescent="0.25">
      <c r="A132" s="3">
        <f>SUBTOTAL(103,B$2:B132)*1</f>
        <v>131</v>
      </c>
      <c r="B132" s="47" t="s">
        <v>963</v>
      </c>
      <c r="C132" s="38">
        <v>45837</v>
      </c>
      <c r="D132" s="38"/>
    </row>
    <row r="133" spans="1:4" x14ac:dyDescent="0.25">
      <c r="A133" s="3">
        <f>SUBTOTAL(103,B$2:B133)*1</f>
        <v>132</v>
      </c>
      <c r="B133" s="47" t="s">
        <v>964</v>
      </c>
      <c r="C133" s="38">
        <v>45837</v>
      </c>
      <c r="D133" s="38"/>
    </row>
    <row r="134" spans="1:4" x14ac:dyDescent="0.25">
      <c r="A134" s="3">
        <f>SUBTOTAL(103,B$2:B134)*1</f>
        <v>133</v>
      </c>
      <c r="B134" s="48" t="s">
        <v>965</v>
      </c>
      <c r="C134" s="38">
        <v>45837</v>
      </c>
      <c r="D134" s="38"/>
    </row>
    <row r="135" spans="1:4" x14ac:dyDescent="0.25">
      <c r="A135" s="3">
        <f>SUBTOTAL(103,B$2:B135)*1</f>
        <v>134</v>
      </c>
      <c r="B135" s="47" t="s">
        <v>966</v>
      </c>
      <c r="C135" s="38">
        <v>45837</v>
      </c>
      <c r="D135" s="38"/>
    </row>
    <row r="136" spans="1:4" x14ac:dyDescent="0.25">
      <c r="A136" s="3">
        <f>SUBTOTAL(103,B$2:B136)*1</f>
        <v>135</v>
      </c>
      <c r="B136" s="47" t="s">
        <v>967</v>
      </c>
      <c r="C136" s="38">
        <v>45837</v>
      </c>
      <c r="D136" s="38"/>
    </row>
    <row r="137" spans="1:4" x14ac:dyDescent="0.25">
      <c r="A137" s="3">
        <f>SUBTOTAL(103,B$2:B137)*1</f>
        <v>136</v>
      </c>
      <c r="B137" s="47" t="s">
        <v>968</v>
      </c>
      <c r="C137" s="38">
        <v>45837</v>
      </c>
      <c r="D137" s="38"/>
    </row>
    <row r="138" spans="1:4" x14ac:dyDescent="0.25">
      <c r="A138" s="3">
        <f>SUBTOTAL(103,B$2:B138)*1</f>
        <v>137</v>
      </c>
      <c r="B138" s="47" t="s">
        <v>969</v>
      </c>
      <c r="C138" s="38">
        <v>45837</v>
      </c>
      <c r="D138" s="38"/>
    </row>
    <row r="139" spans="1:4" x14ac:dyDescent="0.25">
      <c r="A139" s="3">
        <f>SUBTOTAL(103,B$2:B139)*1</f>
        <v>138</v>
      </c>
      <c r="B139" s="47" t="s">
        <v>970</v>
      </c>
      <c r="C139" s="38">
        <v>45837</v>
      </c>
      <c r="D139" s="38"/>
    </row>
    <row r="140" spans="1:4" x14ac:dyDescent="0.25">
      <c r="A140" s="3">
        <f>SUBTOTAL(103,B$2:B140)*1</f>
        <v>139</v>
      </c>
      <c r="B140" s="47" t="s">
        <v>971</v>
      </c>
      <c r="C140" s="38">
        <v>45837</v>
      </c>
      <c r="D140" s="38"/>
    </row>
    <row r="141" spans="1:4" x14ac:dyDescent="0.25">
      <c r="A141" s="3">
        <f>SUBTOTAL(103,B$2:B141)*1</f>
        <v>140</v>
      </c>
      <c r="B141" s="47" t="s">
        <v>972</v>
      </c>
      <c r="C141" s="38">
        <v>45837</v>
      </c>
      <c r="D141" s="38"/>
    </row>
    <row r="142" spans="1:4" x14ac:dyDescent="0.25">
      <c r="A142" s="3">
        <f>SUBTOTAL(103,B$2:B142)*1</f>
        <v>141</v>
      </c>
      <c r="B142" s="47" t="s">
        <v>973</v>
      </c>
      <c r="C142" s="38">
        <v>45837</v>
      </c>
      <c r="D142" s="38"/>
    </row>
    <row r="143" spans="1:4" x14ac:dyDescent="0.25">
      <c r="A143" s="3">
        <f>SUBTOTAL(103,B$2:B143)*1</f>
        <v>142</v>
      </c>
      <c r="B143" s="47" t="s">
        <v>974</v>
      </c>
      <c r="C143" s="38">
        <v>45837</v>
      </c>
      <c r="D143" s="38"/>
    </row>
    <row r="144" spans="1:4" x14ac:dyDescent="0.25">
      <c r="A144" s="3">
        <f>SUBTOTAL(103,B$2:B144)*1</f>
        <v>143</v>
      </c>
      <c r="B144" s="41" t="s">
        <v>975</v>
      </c>
      <c r="C144" s="38">
        <v>45837</v>
      </c>
      <c r="D144" s="38"/>
    </row>
    <row r="145" spans="1:4" x14ac:dyDescent="0.25">
      <c r="A145" s="3">
        <f>SUBTOTAL(103,B$2:B145)*1</f>
        <v>144</v>
      </c>
      <c r="B145" s="47" t="s">
        <v>976</v>
      </c>
      <c r="C145" s="38">
        <v>45837</v>
      </c>
      <c r="D145" s="38"/>
    </row>
    <row r="146" spans="1:4" x14ac:dyDescent="0.25">
      <c r="A146" s="3">
        <f>SUBTOTAL(103,B$2:B146)*1</f>
        <v>145</v>
      </c>
      <c r="B146" s="47" t="s">
        <v>977</v>
      </c>
      <c r="C146" s="38">
        <v>45837</v>
      </c>
      <c r="D146" s="38"/>
    </row>
    <row r="147" spans="1:4" x14ac:dyDescent="0.25">
      <c r="A147" s="3">
        <f>SUBTOTAL(103,B$2:B147)*1</f>
        <v>146</v>
      </c>
      <c r="B147" s="47" t="s">
        <v>978</v>
      </c>
      <c r="C147" s="38">
        <v>45837</v>
      </c>
      <c r="D147" s="38"/>
    </row>
    <row r="148" spans="1:4" x14ac:dyDescent="0.25">
      <c r="A148" s="3">
        <f>SUBTOTAL(103,B$2:B148)*1</f>
        <v>147</v>
      </c>
      <c r="B148" s="47" t="s">
        <v>979</v>
      </c>
      <c r="C148" s="38">
        <v>45837</v>
      </c>
      <c r="D148" s="38"/>
    </row>
    <row r="149" spans="1:4" x14ac:dyDescent="0.25">
      <c r="A149" s="3">
        <f>SUBTOTAL(103,B$2:B149)*1</f>
        <v>148</v>
      </c>
      <c r="B149" s="47" t="s">
        <v>980</v>
      </c>
      <c r="C149" s="38">
        <v>45837</v>
      </c>
      <c r="D149" s="38"/>
    </row>
    <row r="150" spans="1:4" x14ac:dyDescent="0.25">
      <c r="A150" s="3">
        <f>SUBTOTAL(103,B$2:B150)*1</f>
        <v>149</v>
      </c>
      <c r="B150" s="47" t="s">
        <v>981</v>
      </c>
      <c r="C150" s="38">
        <v>45837</v>
      </c>
      <c r="D150" s="38"/>
    </row>
    <row r="151" spans="1:4" x14ac:dyDescent="0.25">
      <c r="A151" s="3">
        <f>SUBTOTAL(103,B$2:B151)*1</f>
        <v>150</v>
      </c>
      <c r="B151" s="47" t="s">
        <v>982</v>
      </c>
      <c r="C151" s="38">
        <v>45837</v>
      </c>
      <c r="D151" s="38"/>
    </row>
    <row r="152" spans="1:4" x14ac:dyDescent="0.25">
      <c r="A152" s="3">
        <f>SUBTOTAL(103,B$2:B152)*1</f>
        <v>151</v>
      </c>
      <c r="B152" s="47" t="s">
        <v>983</v>
      </c>
      <c r="C152" s="38">
        <v>45837</v>
      </c>
      <c r="D152" s="38"/>
    </row>
    <row r="153" spans="1:4" x14ac:dyDescent="0.25">
      <c r="A153" s="3">
        <f>SUBTOTAL(103,B$2:B153)*1</f>
        <v>152</v>
      </c>
      <c r="B153" s="47" t="s">
        <v>984</v>
      </c>
      <c r="C153" s="38">
        <v>45837</v>
      </c>
      <c r="D153" s="38"/>
    </row>
    <row r="154" spans="1:4" x14ac:dyDescent="0.25">
      <c r="A154" s="3">
        <f>SUBTOTAL(103,B$2:B154)*1</f>
        <v>153</v>
      </c>
      <c r="B154" s="47" t="s">
        <v>1005</v>
      </c>
      <c r="C154" s="38">
        <v>45844</v>
      </c>
      <c r="D154" s="38"/>
    </row>
    <row r="155" spans="1:4" x14ac:dyDescent="0.25">
      <c r="A155" s="3">
        <f>SUBTOTAL(103,B$2:B155)*1</f>
        <v>154</v>
      </c>
      <c r="B155" s="47" t="s">
        <v>1011</v>
      </c>
      <c r="C155" s="38">
        <v>45844</v>
      </c>
      <c r="D155" s="38"/>
    </row>
    <row r="156" spans="1:4" x14ac:dyDescent="0.25">
      <c r="A156" s="3">
        <f>SUBTOTAL(103,B$2:B156)*1</f>
        <v>155</v>
      </c>
      <c r="B156" s="47" t="s">
        <v>1012</v>
      </c>
      <c r="C156" s="38">
        <v>45844</v>
      </c>
      <c r="D156" s="38"/>
    </row>
    <row r="157" spans="1:4" x14ac:dyDescent="0.25">
      <c r="A157" s="3">
        <f>SUBTOTAL(103,B$2:B157)*1</f>
        <v>156</v>
      </c>
      <c r="B157" s="47" t="s">
        <v>1013</v>
      </c>
      <c r="C157" s="38">
        <v>45844</v>
      </c>
      <c r="D157" s="38"/>
    </row>
    <row r="158" spans="1:4" x14ac:dyDescent="0.25">
      <c r="A158" s="3">
        <f>SUBTOTAL(103,B$2:B158)*1</f>
        <v>157</v>
      </c>
      <c r="B158" s="47" t="s">
        <v>1015</v>
      </c>
      <c r="C158" s="38">
        <v>45844</v>
      </c>
      <c r="D158" s="38"/>
    </row>
    <row r="159" spans="1:4" x14ac:dyDescent="0.25">
      <c r="A159" s="3">
        <f>SUBTOTAL(103,B$2:B159)*1</f>
        <v>158</v>
      </c>
      <c r="B159" s="47" t="s">
        <v>1006</v>
      </c>
      <c r="C159" s="38">
        <v>45844</v>
      </c>
      <c r="D159" s="38"/>
    </row>
    <row r="160" spans="1:4" x14ac:dyDescent="0.25">
      <c r="A160" s="3">
        <f>SUBTOTAL(103,B$2:B160)*1</f>
        <v>159</v>
      </c>
      <c r="B160" s="47" t="s">
        <v>1017</v>
      </c>
      <c r="C160" s="38">
        <v>45844</v>
      </c>
      <c r="D160" s="38"/>
    </row>
    <row r="161" spans="1:4" x14ac:dyDescent="0.25">
      <c r="A161" s="3">
        <f>SUBTOTAL(103,B$2:B161)*1</f>
        <v>160</v>
      </c>
      <c r="B161" s="47" t="s">
        <v>1019</v>
      </c>
      <c r="C161" s="38">
        <v>45844</v>
      </c>
      <c r="D161" s="38"/>
    </row>
    <row r="162" spans="1:4" x14ac:dyDescent="0.25">
      <c r="A162" s="3">
        <f>SUBTOTAL(103,B$2:B162)*1</f>
        <v>161</v>
      </c>
      <c r="B162" s="47" t="s">
        <v>1020</v>
      </c>
      <c r="C162" s="38">
        <v>45844</v>
      </c>
      <c r="D162" s="38"/>
    </row>
    <row r="163" spans="1:4" x14ac:dyDescent="0.25">
      <c r="A163" s="3">
        <f>SUBTOTAL(103,B$2:B163)*1</f>
        <v>162</v>
      </c>
      <c r="B163" s="41" t="s">
        <v>1007</v>
      </c>
      <c r="C163" s="38">
        <v>45844</v>
      </c>
      <c r="D163" s="38"/>
    </row>
    <row r="164" spans="1:4" x14ac:dyDescent="0.25">
      <c r="A164" s="3">
        <f>SUBTOTAL(103,B$2:B164)*1</f>
        <v>163</v>
      </c>
      <c r="B164" s="47" t="s">
        <v>1024</v>
      </c>
      <c r="C164" s="38">
        <v>45844</v>
      </c>
      <c r="D164" s="38"/>
    </row>
    <row r="165" spans="1:4" x14ac:dyDescent="0.25">
      <c r="A165" s="3">
        <f>SUBTOTAL(103,B$2:B165)*1</f>
        <v>164</v>
      </c>
      <c r="B165" s="47" t="s">
        <v>1025</v>
      </c>
      <c r="C165" s="38">
        <v>45844</v>
      </c>
      <c r="D165" s="38"/>
    </row>
    <row r="166" spans="1:4" x14ac:dyDescent="0.25">
      <c r="A166" s="3">
        <f>SUBTOTAL(103,B$2:B166)*1</f>
        <v>165</v>
      </c>
      <c r="B166" s="47" t="s">
        <v>1008</v>
      </c>
      <c r="C166" s="38">
        <v>45844</v>
      </c>
      <c r="D166" s="38"/>
    </row>
    <row r="167" spans="1:4" x14ac:dyDescent="0.25">
      <c r="A167" s="3">
        <f>SUBTOTAL(103,B$2:B167)*1</f>
        <v>166</v>
      </c>
      <c r="B167" s="47" t="s">
        <v>1026</v>
      </c>
      <c r="C167" s="38">
        <v>45844</v>
      </c>
      <c r="D167" s="38"/>
    </row>
    <row r="168" spans="1:4" x14ac:dyDescent="0.25">
      <c r="A168" s="3">
        <f>SUBTOTAL(103,B$2:B168)*1</f>
        <v>167</v>
      </c>
      <c r="B168" s="47" t="s">
        <v>1027</v>
      </c>
      <c r="C168" s="38">
        <v>45844</v>
      </c>
      <c r="D168" s="38"/>
    </row>
    <row r="169" spans="1:4" x14ac:dyDescent="0.25">
      <c r="A169" s="3">
        <f>SUBTOTAL(103,B$2:B169)*1</f>
        <v>168</v>
      </c>
      <c r="B169" s="47" t="s">
        <v>1029</v>
      </c>
      <c r="C169" s="38">
        <v>45844</v>
      </c>
      <c r="D169" s="38"/>
    </row>
    <row r="170" spans="1:4" x14ac:dyDescent="0.25">
      <c r="A170" s="3">
        <f>SUBTOTAL(103,B$2:B170)*1</f>
        <v>169</v>
      </c>
      <c r="B170" s="47" t="s">
        <v>1030</v>
      </c>
      <c r="C170" s="38">
        <v>45844</v>
      </c>
      <c r="D170" s="38"/>
    </row>
    <row r="171" spans="1:4" x14ac:dyDescent="0.25">
      <c r="A171" s="3">
        <f>SUBTOTAL(103,B$2:B171)*1</f>
        <v>170</v>
      </c>
      <c r="B171" s="47" t="s">
        <v>1031</v>
      </c>
      <c r="C171" s="38">
        <v>45844</v>
      </c>
      <c r="D171" s="38"/>
    </row>
    <row r="172" spans="1:4" x14ac:dyDescent="0.25">
      <c r="A172" s="3">
        <f>SUBTOTAL(103,B$2:B172)*1</f>
        <v>171</v>
      </c>
      <c r="B172" s="47" t="s">
        <v>1038</v>
      </c>
      <c r="C172" s="38">
        <v>45844</v>
      </c>
      <c r="D172" s="38"/>
    </row>
    <row r="173" spans="1:4" x14ac:dyDescent="0.25">
      <c r="A173" s="3">
        <f>SUBTOTAL(103,B$2:B173)*1</f>
        <v>172</v>
      </c>
      <c r="B173" s="47" t="s">
        <v>1039</v>
      </c>
      <c r="C173" s="38">
        <v>45844</v>
      </c>
      <c r="D173" s="38"/>
    </row>
    <row r="174" spans="1:4" x14ac:dyDescent="0.25">
      <c r="A174" s="3">
        <f>SUBTOTAL(103,B$2:B174)*1</f>
        <v>173</v>
      </c>
      <c r="B174" s="47" t="s">
        <v>1036</v>
      </c>
      <c r="C174" s="38">
        <v>45844</v>
      </c>
      <c r="D174" s="38"/>
    </row>
    <row r="175" spans="1:4" x14ac:dyDescent="0.25">
      <c r="A175" s="3">
        <f>SUBTOTAL(103,B$2:B175)*1</f>
        <v>174</v>
      </c>
      <c r="B175" s="48" t="s">
        <v>1037</v>
      </c>
      <c r="C175" s="38">
        <v>45844</v>
      </c>
      <c r="D175" s="38"/>
    </row>
    <row r="176" spans="1:4" x14ac:dyDescent="0.25">
      <c r="A176" s="3">
        <f>SUBTOTAL(103,B$2:B176)*1</f>
        <v>175</v>
      </c>
      <c r="B176" s="47" t="s">
        <v>1035</v>
      </c>
      <c r="C176" s="38">
        <v>45844</v>
      </c>
      <c r="D176" s="38"/>
    </row>
    <row r="177" spans="1:4" x14ac:dyDescent="0.25">
      <c r="A177" s="3">
        <f>SUBTOTAL(103,B$2:B177)*1</f>
        <v>176</v>
      </c>
      <c r="B177" s="48" t="s">
        <v>1009</v>
      </c>
      <c r="C177" s="38">
        <v>45844</v>
      </c>
      <c r="D177" s="38"/>
    </row>
    <row r="178" spans="1:4" x14ac:dyDescent="0.25">
      <c r="A178" s="3">
        <f>SUBTOTAL(103,B$2:B178)*1</f>
        <v>177</v>
      </c>
      <c r="B178" s="47" t="s">
        <v>1034</v>
      </c>
      <c r="C178" s="38">
        <v>45844</v>
      </c>
      <c r="D178" s="38"/>
    </row>
    <row r="179" spans="1:4" x14ac:dyDescent="0.25">
      <c r="A179" s="3">
        <f>SUBTOTAL(103,B$2:B179)*1</f>
        <v>178</v>
      </c>
      <c r="B179" s="47" t="s">
        <v>1033</v>
      </c>
      <c r="C179" s="38">
        <v>45844</v>
      </c>
      <c r="D179" s="38"/>
    </row>
    <row r="180" spans="1:4" x14ac:dyDescent="0.25">
      <c r="A180" s="3">
        <f>SUBTOTAL(103,B$2:B180)*1</f>
        <v>179</v>
      </c>
      <c r="B180" s="47" t="s">
        <v>1010</v>
      </c>
      <c r="C180" s="38">
        <v>45844</v>
      </c>
      <c r="D180" s="38"/>
    </row>
    <row r="181" spans="1:4" x14ac:dyDescent="0.25">
      <c r="A181" s="3">
        <f>SUBTOTAL(103,B$2:B181)*1</f>
        <v>180</v>
      </c>
      <c r="B181" s="47" t="s">
        <v>1032</v>
      </c>
      <c r="C181" s="38">
        <v>45844</v>
      </c>
      <c r="D181" s="38"/>
    </row>
    <row r="182" spans="1:4" x14ac:dyDescent="0.25">
      <c r="A182" s="3">
        <f>SUBTOTAL(103,B$2:B182)*1</f>
        <v>181</v>
      </c>
      <c r="B182" s="47" t="s">
        <v>1055</v>
      </c>
      <c r="C182" s="38">
        <v>45851</v>
      </c>
      <c r="D182" s="38"/>
    </row>
    <row r="183" spans="1:4" x14ac:dyDescent="0.25">
      <c r="A183" s="3">
        <f>SUBTOTAL(103,B$2:B183)*1</f>
        <v>182</v>
      </c>
      <c r="B183" s="47" t="s">
        <v>1044</v>
      </c>
      <c r="C183" s="38">
        <v>45851</v>
      </c>
      <c r="D183" s="38"/>
    </row>
    <row r="184" spans="1:4" x14ac:dyDescent="0.25">
      <c r="A184" s="3">
        <f>SUBTOTAL(103,B$2:B184)*1</f>
        <v>183</v>
      </c>
      <c r="B184" s="47" t="s">
        <v>1049</v>
      </c>
      <c r="C184" s="38">
        <v>45851</v>
      </c>
      <c r="D184" s="38"/>
    </row>
    <row r="185" spans="1:4" x14ac:dyDescent="0.25">
      <c r="A185" s="3">
        <f>SUBTOTAL(103,B$2:B185)*1</f>
        <v>184</v>
      </c>
      <c r="B185" s="47" t="s">
        <v>1050</v>
      </c>
      <c r="C185" s="38">
        <v>45851</v>
      </c>
      <c r="D185" s="38"/>
    </row>
    <row r="186" spans="1:4" x14ac:dyDescent="0.25">
      <c r="A186" s="3">
        <f>SUBTOTAL(103,B$2:B186)*1</f>
        <v>185</v>
      </c>
      <c r="B186" s="47" t="s">
        <v>1051</v>
      </c>
      <c r="C186" s="38">
        <v>45851</v>
      </c>
      <c r="D186" s="38"/>
    </row>
    <row r="187" spans="1:4" x14ac:dyDescent="0.25">
      <c r="A187" s="3">
        <f>SUBTOTAL(103,B$2:B187)*1</f>
        <v>186</v>
      </c>
      <c r="B187" s="47" t="s">
        <v>1052</v>
      </c>
      <c r="C187" s="38">
        <v>45851</v>
      </c>
      <c r="D187" s="38"/>
    </row>
    <row r="188" spans="1:4" x14ac:dyDescent="0.25">
      <c r="A188" s="3">
        <f>SUBTOTAL(103,B$2:B188)*1</f>
        <v>187</v>
      </c>
      <c r="B188" s="47" t="s">
        <v>1053</v>
      </c>
      <c r="C188" s="38">
        <v>45851</v>
      </c>
      <c r="D188" s="38"/>
    </row>
    <row r="189" spans="1:4" x14ac:dyDescent="0.25">
      <c r="A189" s="3">
        <f>SUBTOTAL(103,B$2:B189)*1</f>
        <v>188</v>
      </c>
      <c r="B189" s="47" t="s">
        <v>1054</v>
      </c>
      <c r="C189" s="38">
        <v>45851</v>
      </c>
      <c r="D189" s="38"/>
    </row>
    <row r="190" spans="1:4" x14ac:dyDescent="0.25">
      <c r="A190" s="3">
        <f>SUBTOTAL(103,B$2:B190)*1</f>
        <v>189</v>
      </c>
      <c r="B190" s="47" t="s">
        <v>1059</v>
      </c>
      <c r="C190" s="38">
        <v>45851</v>
      </c>
      <c r="D190" s="38"/>
    </row>
    <row r="191" spans="1:4" x14ac:dyDescent="0.25">
      <c r="A191" s="3">
        <f>SUBTOTAL(103,B$2:B191)*1</f>
        <v>190</v>
      </c>
      <c r="B191" s="47" t="s">
        <v>1062</v>
      </c>
      <c r="C191" s="38">
        <v>45851</v>
      </c>
      <c r="D191" s="38"/>
    </row>
    <row r="192" spans="1:4" x14ac:dyDescent="0.25">
      <c r="A192" s="3">
        <f>SUBTOTAL(103,B$2:B192)*1</f>
        <v>191</v>
      </c>
      <c r="B192" s="47" t="s">
        <v>1063</v>
      </c>
      <c r="C192" s="38">
        <v>45851</v>
      </c>
      <c r="D192" s="38"/>
    </row>
    <row r="193" spans="1:4" x14ac:dyDescent="0.25">
      <c r="A193" s="3">
        <f>SUBTOTAL(103,B$2:B193)*1</f>
        <v>192</v>
      </c>
      <c r="B193" s="47" t="s">
        <v>1064</v>
      </c>
      <c r="C193" s="38">
        <v>45851</v>
      </c>
      <c r="D193" s="38"/>
    </row>
    <row r="194" spans="1:4" x14ac:dyDescent="0.25">
      <c r="A194" s="3">
        <f>SUBTOTAL(103,B$2:B194)*1</f>
        <v>193</v>
      </c>
      <c r="B194" s="47" t="s">
        <v>1067</v>
      </c>
      <c r="C194" s="38">
        <v>45851</v>
      </c>
      <c r="D194" s="38"/>
    </row>
    <row r="195" spans="1:4" x14ac:dyDescent="0.25">
      <c r="A195" s="3">
        <f>SUBTOTAL(103,B$2:B195)*1</f>
        <v>194</v>
      </c>
      <c r="B195" s="47" t="s">
        <v>1065</v>
      </c>
      <c r="C195" s="38">
        <v>45851</v>
      </c>
      <c r="D195" s="38"/>
    </row>
    <row r="196" spans="1:4" x14ac:dyDescent="0.25">
      <c r="A196" s="3">
        <f>SUBTOTAL(103,B$2:B196)*1</f>
        <v>195</v>
      </c>
      <c r="B196" s="47" t="s">
        <v>1066</v>
      </c>
      <c r="C196" s="38">
        <v>45851</v>
      </c>
      <c r="D196" s="38"/>
    </row>
    <row r="197" spans="1:4" x14ac:dyDescent="0.25">
      <c r="A197" s="3">
        <f>SUBTOTAL(103,B$2:B197)*1</f>
        <v>196</v>
      </c>
      <c r="B197" s="47" t="s">
        <v>1068</v>
      </c>
      <c r="C197" s="38">
        <v>45851</v>
      </c>
      <c r="D197" s="38"/>
    </row>
    <row r="198" spans="1:4" x14ac:dyDescent="0.25">
      <c r="A198" s="3">
        <f>SUBTOTAL(103,B$2:B198)*1</f>
        <v>197</v>
      </c>
      <c r="B198" s="47" t="s">
        <v>1069</v>
      </c>
      <c r="C198" s="38">
        <v>45851</v>
      </c>
      <c r="D198" s="38"/>
    </row>
    <row r="199" spans="1:4" x14ac:dyDescent="0.25">
      <c r="A199" s="3">
        <f>SUBTOTAL(103,B$2:B199)*1</f>
        <v>198</v>
      </c>
      <c r="B199" s="47" t="s">
        <v>1070</v>
      </c>
      <c r="C199" s="38">
        <v>45851</v>
      </c>
      <c r="D199" s="38"/>
    </row>
    <row r="200" spans="1:4" x14ac:dyDescent="0.25">
      <c r="A200" s="3">
        <f>SUBTOTAL(103,B$2:B200)*1</f>
        <v>199</v>
      </c>
      <c r="B200" s="47" t="s">
        <v>1071</v>
      </c>
      <c r="C200" s="38">
        <v>45851</v>
      </c>
      <c r="D200" s="38"/>
    </row>
    <row r="201" spans="1:4" x14ac:dyDescent="0.25">
      <c r="A201" s="3">
        <f>SUBTOTAL(103,B$2:B201)*1</f>
        <v>200</v>
      </c>
      <c r="B201" s="47" t="s">
        <v>1072</v>
      </c>
      <c r="C201" s="38">
        <v>45851</v>
      </c>
      <c r="D201" s="38"/>
    </row>
    <row r="202" spans="1:4" x14ac:dyDescent="0.25">
      <c r="A202" s="3">
        <f>SUBTOTAL(103,B$2:B202)*1</f>
        <v>201</v>
      </c>
      <c r="B202" s="47" t="s">
        <v>1074</v>
      </c>
      <c r="C202" s="38">
        <v>45851</v>
      </c>
      <c r="D202" s="38"/>
    </row>
    <row r="203" spans="1:4" x14ac:dyDescent="0.25">
      <c r="A203" s="3">
        <f>SUBTOTAL(103,B$2:B203)*1</f>
        <v>202</v>
      </c>
      <c r="B203" s="47" t="s">
        <v>1075</v>
      </c>
      <c r="C203" s="38">
        <v>45851</v>
      </c>
      <c r="D203" s="38"/>
    </row>
    <row r="204" spans="1:4" x14ac:dyDescent="0.25">
      <c r="A204" s="3">
        <f>SUBTOTAL(103,B$2:B204)*1</f>
        <v>203</v>
      </c>
      <c r="B204" s="47" t="s">
        <v>1076</v>
      </c>
      <c r="C204" s="38">
        <v>45851</v>
      </c>
      <c r="D204" s="38"/>
    </row>
    <row r="205" spans="1:4" x14ac:dyDescent="0.25">
      <c r="A205" s="3">
        <f>SUBTOTAL(103,B$2:B205)*1</f>
        <v>204</v>
      </c>
      <c r="B205" s="47" t="s">
        <v>1077</v>
      </c>
      <c r="C205" s="38">
        <v>45851</v>
      </c>
      <c r="D205" s="38"/>
    </row>
    <row r="206" spans="1:4" x14ac:dyDescent="0.25">
      <c r="A206" s="3">
        <f>SUBTOTAL(103,B$2:B206)*1</f>
        <v>205</v>
      </c>
      <c r="B206" s="47" t="s">
        <v>1078</v>
      </c>
      <c r="C206" s="38">
        <v>45851</v>
      </c>
      <c r="D206" s="38"/>
    </row>
    <row r="207" spans="1:4" x14ac:dyDescent="0.25">
      <c r="A207" s="3">
        <f>SUBTOTAL(103,B$2:B207)*1</f>
        <v>206</v>
      </c>
      <c r="B207" s="47" t="s">
        <v>1079</v>
      </c>
      <c r="C207" s="38">
        <v>45851</v>
      </c>
      <c r="D207" s="38"/>
    </row>
    <row r="208" spans="1:4" x14ac:dyDescent="0.25">
      <c r="A208" s="3">
        <f>SUBTOTAL(103,B$2:B208)*1</f>
        <v>207</v>
      </c>
      <c r="B208" s="47" t="s">
        <v>1080</v>
      </c>
      <c r="C208" s="38">
        <v>45851</v>
      </c>
      <c r="D208" s="38"/>
    </row>
    <row r="209" spans="1:4" x14ac:dyDescent="0.25">
      <c r="A209" s="3">
        <f>SUBTOTAL(103,B$2:B209)*1</f>
        <v>208</v>
      </c>
      <c r="B209" s="47" t="s">
        <v>1081</v>
      </c>
      <c r="C209" s="38">
        <v>45851</v>
      </c>
      <c r="D209" s="38"/>
    </row>
    <row r="210" spans="1:4" x14ac:dyDescent="0.25">
      <c r="A210" s="3">
        <f>SUBTOTAL(103,B$2:B210)*1</f>
        <v>209</v>
      </c>
      <c r="B210" s="47" t="s">
        <v>1082</v>
      </c>
      <c r="C210" s="38">
        <v>45851</v>
      </c>
      <c r="D210" s="38"/>
    </row>
    <row r="211" spans="1:4" x14ac:dyDescent="0.25">
      <c r="A211" s="3">
        <f>SUBTOTAL(103,B$2:B211)*1</f>
        <v>210</v>
      </c>
      <c r="B211" s="47" t="s">
        <v>1100</v>
      </c>
      <c r="C211" s="38">
        <v>45851</v>
      </c>
      <c r="D211" s="38"/>
    </row>
    <row r="212" spans="1:4" x14ac:dyDescent="0.25">
      <c r="A212" s="3">
        <f>SUBTOTAL(103,B$2:B212)*1</f>
        <v>211</v>
      </c>
      <c r="B212" s="47" t="s">
        <v>1107</v>
      </c>
      <c r="C212" s="38">
        <v>45858</v>
      </c>
      <c r="D212" s="38"/>
    </row>
    <row r="213" spans="1:4" x14ac:dyDescent="0.25">
      <c r="A213" s="3">
        <f>SUBTOTAL(103,B$2:B213)*1</f>
        <v>212</v>
      </c>
      <c r="B213" s="47" t="s">
        <v>1111</v>
      </c>
      <c r="C213" s="38">
        <v>45858</v>
      </c>
      <c r="D213" s="38"/>
    </row>
    <row r="214" spans="1:4" x14ac:dyDescent="0.25">
      <c r="A214" s="3">
        <f>SUBTOTAL(103,B$2:B214)*1</f>
        <v>213</v>
      </c>
      <c r="B214" s="47" t="s">
        <v>1113</v>
      </c>
      <c r="C214" s="38">
        <v>45858</v>
      </c>
      <c r="D214" s="38"/>
    </row>
    <row r="215" spans="1:4" x14ac:dyDescent="0.25">
      <c r="A215" s="3">
        <f>SUBTOTAL(103,B$2:B215)*1</f>
        <v>214</v>
      </c>
      <c r="B215" s="47" t="s">
        <v>1114</v>
      </c>
      <c r="C215" s="38">
        <v>45858</v>
      </c>
      <c r="D215" s="38"/>
    </row>
    <row r="216" spans="1:4" x14ac:dyDescent="0.25">
      <c r="A216" s="3">
        <f>SUBTOTAL(103,B$2:B216)*1</f>
        <v>215</v>
      </c>
      <c r="B216" s="47" t="s">
        <v>1115</v>
      </c>
      <c r="C216" s="38">
        <v>45858</v>
      </c>
      <c r="D216" s="38"/>
    </row>
    <row r="217" spans="1:4" x14ac:dyDescent="0.25">
      <c r="A217" s="3">
        <f>SUBTOTAL(103,B$2:B217)*1</f>
        <v>216</v>
      </c>
      <c r="B217" s="47" t="s">
        <v>1124</v>
      </c>
      <c r="C217" s="38">
        <v>45858</v>
      </c>
      <c r="D217" s="38"/>
    </row>
    <row r="218" spans="1:4" x14ac:dyDescent="0.25">
      <c r="A218" s="3">
        <f>SUBTOTAL(103,B$2:B218)*1</f>
        <v>217</v>
      </c>
      <c r="B218" s="47" t="s">
        <v>1127</v>
      </c>
      <c r="C218" s="38">
        <v>45858</v>
      </c>
      <c r="D218" s="38"/>
    </row>
    <row r="219" spans="1:4" x14ac:dyDescent="0.25">
      <c r="A219" s="3">
        <f>SUBTOTAL(103,B$2:B219)*1</f>
        <v>218</v>
      </c>
      <c r="B219" s="47" t="s">
        <v>1130</v>
      </c>
      <c r="C219" s="38">
        <v>45858</v>
      </c>
      <c r="D219" s="38"/>
    </row>
    <row r="220" spans="1:4" x14ac:dyDescent="0.25">
      <c r="A220" s="3">
        <f>SUBTOTAL(103,B$2:B220)*1</f>
        <v>219</v>
      </c>
      <c r="B220" s="48" t="s">
        <v>1102</v>
      </c>
      <c r="C220" s="38">
        <v>45858</v>
      </c>
      <c r="D220" s="38"/>
    </row>
    <row r="221" spans="1:4" x14ac:dyDescent="0.25">
      <c r="A221" s="3">
        <f>SUBTOTAL(103,B$2:B221)*1</f>
        <v>220</v>
      </c>
      <c r="B221" s="48" t="s">
        <v>1103</v>
      </c>
      <c r="C221" s="38">
        <v>45858</v>
      </c>
      <c r="D221" s="38"/>
    </row>
    <row r="222" spans="1:4" x14ac:dyDescent="0.25">
      <c r="A222" s="3">
        <f>SUBTOTAL(103,B$2:B222)*1</f>
        <v>221</v>
      </c>
      <c r="B222" s="47" t="s">
        <v>1132</v>
      </c>
      <c r="C222" s="38">
        <v>45858</v>
      </c>
      <c r="D222" s="38"/>
    </row>
    <row r="223" spans="1:4" x14ac:dyDescent="0.25">
      <c r="A223" s="3">
        <f>SUBTOTAL(103,B$2:B223)*1</f>
        <v>222</v>
      </c>
      <c r="B223" s="47" t="s">
        <v>1133</v>
      </c>
      <c r="C223" s="38">
        <v>45858</v>
      </c>
      <c r="D223" s="38"/>
    </row>
    <row r="224" spans="1:4" x14ac:dyDescent="0.25">
      <c r="A224" s="3">
        <f>SUBTOTAL(103,B$2:B224)*1</f>
        <v>223</v>
      </c>
      <c r="B224" s="47" t="s">
        <v>1134</v>
      </c>
      <c r="C224" s="38">
        <v>45858</v>
      </c>
      <c r="D224" s="38"/>
    </row>
    <row r="225" spans="1:4" x14ac:dyDescent="0.25">
      <c r="A225" s="3">
        <f>SUBTOTAL(103,B$2:B225)*1</f>
        <v>224</v>
      </c>
      <c r="B225" s="47" t="s">
        <v>1104</v>
      </c>
      <c r="C225" s="38">
        <v>45858</v>
      </c>
      <c r="D225" s="51" t="s">
        <v>1136</v>
      </c>
    </row>
    <row r="226" spans="1:4" x14ac:dyDescent="0.25">
      <c r="A226" s="3">
        <f>SUBTOTAL(103,B$2:B226)*1</f>
        <v>225</v>
      </c>
      <c r="B226" s="47" t="s">
        <v>1105</v>
      </c>
      <c r="C226" s="38">
        <v>45858</v>
      </c>
      <c r="D226" s="38"/>
    </row>
    <row r="227" spans="1:4" x14ac:dyDescent="0.25">
      <c r="A227" s="3">
        <f>SUBTOTAL(103,B$2:B227)*1</f>
        <v>226</v>
      </c>
      <c r="B227" s="47" t="s">
        <v>1137</v>
      </c>
      <c r="C227" s="38">
        <v>45858</v>
      </c>
      <c r="D227" s="38"/>
    </row>
    <row r="228" spans="1:4" ht="28" x14ac:dyDescent="0.25">
      <c r="A228" s="3">
        <f>SUBTOTAL(103,B$2:B228)*1</f>
        <v>227</v>
      </c>
      <c r="B228" s="47" t="s">
        <v>1141</v>
      </c>
      <c r="C228" s="38">
        <v>45858</v>
      </c>
      <c r="D228" s="38"/>
    </row>
    <row r="229" spans="1:4" x14ac:dyDescent="0.25">
      <c r="A229" s="3">
        <f>SUBTOTAL(103,B$2:B229)*1</f>
        <v>228</v>
      </c>
      <c r="B229" s="47" t="s">
        <v>1142</v>
      </c>
      <c r="C229" s="38">
        <v>45858</v>
      </c>
      <c r="D229" s="38"/>
    </row>
    <row r="230" spans="1:4" x14ac:dyDescent="0.25">
      <c r="A230" s="3">
        <f>SUBTOTAL(103,B$2:B230)*1</f>
        <v>229</v>
      </c>
      <c r="B230" s="41" t="s">
        <v>1156</v>
      </c>
      <c r="C230" s="38">
        <v>45858</v>
      </c>
      <c r="D230" s="38"/>
    </row>
    <row r="231" spans="1:4" x14ac:dyDescent="0.25">
      <c r="A231" s="3">
        <f>SUBTOTAL(103,B$2:B231)*1</f>
        <v>230</v>
      </c>
      <c r="B231" s="47" t="s">
        <v>1143</v>
      </c>
      <c r="C231" s="38">
        <v>45858</v>
      </c>
      <c r="D231" s="38"/>
    </row>
    <row r="232" spans="1:4" x14ac:dyDescent="0.25">
      <c r="A232" s="3">
        <f>SUBTOTAL(103,B$2:B232)*1</f>
        <v>231</v>
      </c>
      <c r="B232" s="47" t="s">
        <v>1144</v>
      </c>
      <c r="C232" s="38">
        <v>45858</v>
      </c>
      <c r="D232" s="38"/>
    </row>
    <row r="233" spans="1:4" x14ac:dyDescent="0.25">
      <c r="A233" s="3">
        <f>SUBTOTAL(103,B$2:B233)*1</f>
        <v>232</v>
      </c>
      <c r="B233" s="47" t="s">
        <v>1145</v>
      </c>
      <c r="C233" s="38">
        <v>45858</v>
      </c>
      <c r="D233" s="38"/>
    </row>
    <row r="234" spans="1:4" x14ac:dyDescent="0.25">
      <c r="A234" s="3">
        <f>SUBTOTAL(103,B$2:B234)*1</f>
        <v>233</v>
      </c>
      <c r="B234" s="47" t="s">
        <v>1146</v>
      </c>
      <c r="C234" s="38">
        <v>45858</v>
      </c>
      <c r="D234" s="38"/>
    </row>
    <row r="235" spans="1:4" x14ac:dyDescent="0.25">
      <c r="A235" s="3">
        <f>SUBTOTAL(103,B$2:B235)*1</f>
        <v>234</v>
      </c>
      <c r="B235" s="47" t="s">
        <v>1148</v>
      </c>
      <c r="C235" s="38">
        <v>45858</v>
      </c>
      <c r="D235" s="38"/>
    </row>
    <row r="236" spans="1:4" x14ac:dyDescent="0.25">
      <c r="A236" s="3">
        <f>SUBTOTAL(103,B$2:B236)*1</f>
        <v>235</v>
      </c>
      <c r="B236" s="47" t="s">
        <v>1149</v>
      </c>
      <c r="C236" s="38">
        <v>45858</v>
      </c>
      <c r="D236" s="38"/>
    </row>
    <row r="237" spans="1:4" x14ac:dyDescent="0.25">
      <c r="A237" s="3">
        <f>SUBTOTAL(103,B$2:B237)*1</f>
        <v>236</v>
      </c>
      <c r="B237" s="48" t="s">
        <v>1106</v>
      </c>
      <c r="C237" s="38">
        <v>45858</v>
      </c>
      <c r="D237" s="38"/>
    </row>
    <row r="238" spans="1:4" x14ac:dyDescent="0.25">
      <c r="A238" s="3">
        <f>SUBTOTAL(103,B$2:B238)*1</f>
        <v>237</v>
      </c>
      <c r="B238" s="47" t="s">
        <v>1154</v>
      </c>
      <c r="C238" s="38">
        <v>45858</v>
      </c>
      <c r="D238" s="51" t="s">
        <v>1153</v>
      </c>
    </row>
    <row r="239" spans="1:4" x14ac:dyDescent="0.25">
      <c r="A239" s="3">
        <f>SUBTOTAL(103,B$2:B239)*1</f>
        <v>238</v>
      </c>
      <c r="B239" s="47" t="s">
        <v>1183</v>
      </c>
      <c r="C239" s="38">
        <v>45865</v>
      </c>
      <c r="D239" s="38"/>
    </row>
    <row r="240" spans="1:4" ht="28" x14ac:dyDescent="0.25">
      <c r="A240" s="3">
        <f>SUBTOTAL(103,B$2:B240)*1</f>
        <v>239</v>
      </c>
      <c r="B240" s="47" t="s">
        <v>1184</v>
      </c>
      <c r="C240" s="38">
        <v>45865</v>
      </c>
      <c r="D240" s="38"/>
    </row>
    <row r="241" spans="1:4" x14ac:dyDescent="0.25">
      <c r="A241" s="3">
        <f>SUBTOTAL(103,B$2:B241)*1</f>
        <v>240</v>
      </c>
      <c r="B241" s="47" t="s">
        <v>1185</v>
      </c>
      <c r="C241" s="38">
        <v>45865</v>
      </c>
      <c r="D241" s="38"/>
    </row>
    <row r="242" spans="1:4" x14ac:dyDescent="0.25">
      <c r="A242" s="3">
        <f>SUBTOTAL(103,B$2:B242)*1</f>
        <v>241</v>
      </c>
      <c r="B242" s="47" t="s">
        <v>1178</v>
      </c>
      <c r="C242" s="38">
        <v>45865</v>
      </c>
      <c r="D242" s="38"/>
    </row>
    <row r="243" spans="1:4" x14ac:dyDescent="0.25">
      <c r="A243" s="3">
        <f>SUBTOTAL(103,B$2:B243)*1</f>
        <v>242</v>
      </c>
      <c r="B243" s="47" t="s">
        <v>1186</v>
      </c>
      <c r="C243" s="38">
        <v>45865</v>
      </c>
      <c r="D243" s="38"/>
    </row>
    <row r="244" spans="1:4" x14ac:dyDescent="0.25">
      <c r="A244" s="3">
        <f>SUBTOTAL(103,B$2:B244)*1</f>
        <v>243</v>
      </c>
      <c r="B244" s="47" t="s">
        <v>1188</v>
      </c>
      <c r="C244" s="38">
        <v>45865</v>
      </c>
      <c r="D244" s="38"/>
    </row>
    <row r="245" spans="1:4" x14ac:dyDescent="0.25">
      <c r="A245" s="3">
        <f>SUBTOTAL(103,B$2:B245)*1</f>
        <v>244</v>
      </c>
      <c r="B245" s="47" t="s">
        <v>1191</v>
      </c>
      <c r="C245" s="38">
        <v>45865</v>
      </c>
      <c r="D245" s="38"/>
    </row>
    <row r="246" spans="1:4" x14ac:dyDescent="0.25">
      <c r="A246" s="3">
        <f>SUBTOTAL(103,B$2:B246)*1</f>
        <v>245</v>
      </c>
      <c r="B246" s="47" t="s">
        <v>1192</v>
      </c>
      <c r="C246" s="38">
        <v>45865</v>
      </c>
      <c r="D246" s="38"/>
    </row>
    <row r="247" spans="1:4" x14ac:dyDescent="0.25">
      <c r="A247" s="3">
        <f>SUBTOTAL(103,B$2:B247)*1</f>
        <v>246</v>
      </c>
      <c r="B247" s="48" t="s">
        <v>1179</v>
      </c>
      <c r="C247" s="38">
        <v>45865</v>
      </c>
      <c r="D247" s="38"/>
    </row>
    <row r="248" spans="1:4" x14ac:dyDescent="0.25">
      <c r="A248" s="3">
        <f>SUBTOTAL(103,B$2:B248)*1</f>
        <v>247</v>
      </c>
      <c r="B248" s="47" t="s">
        <v>1197</v>
      </c>
      <c r="C248" s="38">
        <v>45865</v>
      </c>
      <c r="D248" s="38"/>
    </row>
    <row r="249" spans="1:4" x14ac:dyDescent="0.25">
      <c r="A249" s="3">
        <f>SUBTOTAL(103,B$2:B249)*1</f>
        <v>248</v>
      </c>
      <c r="B249" s="47" t="s">
        <v>1199</v>
      </c>
      <c r="C249" s="38">
        <v>45865</v>
      </c>
      <c r="D249" s="38"/>
    </row>
    <row r="250" spans="1:4" x14ac:dyDescent="0.25">
      <c r="A250" s="3">
        <f>SUBTOTAL(103,B$2:B250)*1</f>
        <v>249</v>
      </c>
      <c r="B250" s="48" t="s">
        <v>1180</v>
      </c>
      <c r="C250" s="38">
        <v>45865</v>
      </c>
      <c r="D250" s="38"/>
    </row>
    <row r="251" spans="1:4" x14ac:dyDescent="0.25">
      <c r="A251" s="3">
        <f>SUBTOTAL(103,B$2:B251)*1</f>
        <v>250</v>
      </c>
      <c r="B251" s="47" t="s">
        <v>1203</v>
      </c>
      <c r="C251" s="38">
        <v>45865</v>
      </c>
      <c r="D251" s="38"/>
    </row>
    <row r="252" spans="1:4" x14ac:dyDescent="0.25">
      <c r="A252" s="3">
        <f>SUBTOTAL(103,B$2:B252)*1</f>
        <v>251</v>
      </c>
      <c r="B252" s="48" t="s">
        <v>1181</v>
      </c>
      <c r="C252" s="38">
        <v>45865</v>
      </c>
      <c r="D252" s="38"/>
    </row>
    <row r="253" spans="1:4" x14ac:dyDescent="0.25">
      <c r="A253" s="3">
        <f>SUBTOTAL(103,B$2:B253)*1</f>
        <v>252</v>
      </c>
      <c r="B253" s="47" t="s">
        <v>1204</v>
      </c>
      <c r="C253" s="38">
        <v>45865</v>
      </c>
      <c r="D253" s="38"/>
    </row>
    <row r="254" spans="1:4" x14ac:dyDescent="0.25">
      <c r="A254" s="3">
        <f>SUBTOTAL(103,B$2:B254)*1</f>
        <v>253</v>
      </c>
      <c r="B254" s="47" t="s">
        <v>1205</v>
      </c>
      <c r="C254" s="38">
        <v>45865</v>
      </c>
      <c r="D254" s="38"/>
    </row>
    <row r="255" spans="1:4" x14ac:dyDescent="0.25">
      <c r="A255" s="3">
        <f>SUBTOTAL(103,B$2:B255)*1</f>
        <v>254</v>
      </c>
      <c r="B255" s="47" t="s">
        <v>1207</v>
      </c>
      <c r="C255" s="38">
        <v>45865</v>
      </c>
      <c r="D255" s="38"/>
    </row>
    <row r="256" spans="1:4" x14ac:dyDescent="0.25">
      <c r="A256" s="3">
        <f>SUBTOTAL(103,B$2:B256)*1</f>
        <v>255</v>
      </c>
      <c r="B256" s="47" t="s">
        <v>1208</v>
      </c>
      <c r="C256" s="38">
        <v>45865</v>
      </c>
      <c r="D256" s="38"/>
    </row>
    <row r="257" spans="1:4" x14ac:dyDescent="0.25">
      <c r="A257" s="3">
        <f>SUBTOTAL(103,B$2:B257)*1</f>
        <v>256</v>
      </c>
      <c r="B257" s="47" t="s">
        <v>1210</v>
      </c>
      <c r="C257" s="38">
        <v>45865</v>
      </c>
      <c r="D257" s="38"/>
    </row>
    <row r="258" spans="1:4" x14ac:dyDescent="0.25">
      <c r="A258" s="3">
        <f>SUBTOTAL(103,B$2:B258)*1</f>
        <v>257</v>
      </c>
      <c r="B258" s="47" t="s">
        <v>1182</v>
      </c>
      <c r="C258" s="38">
        <v>45865</v>
      </c>
      <c r="D258" s="38"/>
    </row>
    <row r="259" spans="1:4" x14ac:dyDescent="0.25">
      <c r="A259" s="3">
        <f>SUBTOTAL(103,B$2:B259)*1</f>
        <v>258</v>
      </c>
      <c r="B259" s="47" t="s">
        <v>1217</v>
      </c>
      <c r="C259" s="38">
        <v>45872</v>
      </c>
      <c r="D259" s="53" t="s">
        <v>1261</v>
      </c>
    </row>
    <row r="260" spans="1:4" x14ac:dyDescent="0.25">
      <c r="A260" s="3">
        <f>SUBTOTAL(103,B$2:B260)*1</f>
        <v>259</v>
      </c>
      <c r="B260" s="47" t="s">
        <v>1212</v>
      </c>
      <c r="C260" s="38">
        <v>45872</v>
      </c>
      <c r="D260" s="38"/>
    </row>
    <row r="261" spans="1:4" x14ac:dyDescent="0.25">
      <c r="A261" s="3">
        <f>SUBTOTAL(103,B$2:B261)*1</f>
        <v>260</v>
      </c>
      <c r="B261" s="48" t="s">
        <v>1213</v>
      </c>
      <c r="C261" s="38">
        <v>45872</v>
      </c>
      <c r="D261" s="38"/>
    </row>
    <row r="262" spans="1:4" x14ac:dyDescent="0.25">
      <c r="A262" s="3">
        <f>SUBTOTAL(103,B$2:B262)*1</f>
        <v>261</v>
      </c>
      <c r="B262" s="48" t="s">
        <v>1214</v>
      </c>
      <c r="C262" s="38">
        <v>45872</v>
      </c>
      <c r="D262" s="38"/>
    </row>
    <row r="263" spans="1:4" x14ac:dyDescent="0.25">
      <c r="A263" s="3">
        <f>SUBTOTAL(103,B$2:B263)*1</f>
        <v>262</v>
      </c>
      <c r="B263" s="47" t="s">
        <v>1285</v>
      </c>
      <c r="C263" s="38">
        <v>45872</v>
      </c>
      <c r="D263" s="38"/>
    </row>
    <row r="264" spans="1:4" x14ac:dyDescent="0.25">
      <c r="A264" s="3">
        <f>SUBTOTAL(103,B$2:B264)*1</f>
        <v>263</v>
      </c>
      <c r="B264" s="47" t="s">
        <v>1218</v>
      </c>
      <c r="C264" s="38">
        <v>45872</v>
      </c>
      <c r="D264" s="38"/>
    </row>
    <row r="265" spans="1:4" x14ac:dyDescent="0.25">
      <c r="A265" s="3">
        <f>SUBTOTAL(103,B$2:B265)*1</f>
        <v>264</v>
      </c>
      <c r="B265" s="47" t="s">
        <v>1219</v>
      </c>
      <c r="C265" s="38">
        <v>45872</v>
      </c>
      <c r="D265" s="38"/>
    </row>
    <row r="266" spans="1:4" x14ac:dyDescent="0.25">
      <c r="A266" s="3">
        <f>SUBTOTAL(103,B$2:B266)*1</f>
        <v>265</v>
      </c>
      <c r="B266" s="47" t="s">
        <v>1215</v>
      </c>
      <c r="C266" s="38">
        <v>45872</v>
      </c>
      <c r="D266" s="38"/>
    </row>
    <row r="267" spans="1:4" x14ac:dyDescent="0.25">
      <c r="A267" s="3">
        <f>SUBTOTAL(103,B$2:B267)*1</f>
        <v>266</v>
      </c>
      <c r="B267" s="47" t="s">
        <v>1224</v>
      </c>
      <c r="C267" s="38">
        <v>45872</v>
      </c>
      <c r="D267" s="38"/>
    </row>
    <row r="268" spans="1:4" x14ac:dyDescent="0.25">
      <c r="A268" s="3">
        <f>SUBTOTAL(103,B$2:B268)*1</f>
        <v>267</v>
      </c>
      <c r="B268" s="41" t="s">
        <v>1225</v>
      </c>
      <c r="C268" s="38">
        <v>45872</v>
      </c>
      <c r="D268" s="38"/>
    </row>
    <row r="269" spans="1:4" x14ac:dyDescent="0.25">
      <c r="A269" s="3">
        <f>SUBTOTAL(103,B$2:B269)*1</f>
        <v>268</v>
      </c>
      <c r="B269" s="41" t="s">
        <v>1226</v>
      </c>
      <c r="C269" s="38">
        <v>45872</v>
      </c>
      <c r="D269" s="38"/>
    </row>
    <row r="270" spans="1:4" x14ac:dyDescent="0.25">
      <c r="A270" s="3">
        <f>SUBTOTAL(103,B$2:B270)*1</f>
        <v>269</v>
      </c>
      <c r="B270" s="41" t="s">
        <v>1227</v>
      </c>
      <c r="C270" s="38">
        <v>45872</v>
      </c>
      <c r="D270" s="38"/>
    </row>
    <row r="271" spans="1:4" x14ac:dyDescent="0.25">
      <c r="A271" s="3">
        <f>SUBTOTAL(103,B$2:B271)*1</f>
        <v>270</v>
      </c>
      <c r="B271" s="41" t="s">
        <v>1228</v>
      </c>
      <c r="C271" s="38">
        <v>45872</v>
      </c>
      <c r="D271" s="38"/>
    </row>
    <row r="272" spans="1:4" x14ac:dyDescent="0.25">
      <c r="A272" s="3">
        <f>SUBTOTAL(103,B$2:B272)*1</f>
        <v>271</v>
      </c>
      <c r="B272" s="41" t="s">
        <v>1229</v>
      </c>
      <c r="C272" s="38">
        <v>45872</v>
      </c>
      <c r="D272" s="38"/>
    </row>
    <row r="273" spans="1:4" x14ac:dyDescent="0.25">
      <c r="A273" s="3">
        <f>SUBTOTAL(103,B$2:B273)*1</f>
        <v>272</v>
      </c>
      <c r="B273" s="41" t="s">
        <v>1230</v>
      </c>
      <c r="C273" s="38">
        <v>45872</v>
      </c>
      <c r="D273" s="38"/>
    </row>
    <row r="274" spans="1:4" x14ac:dyDescent="0.25">
      <c r="A274" s="3">
        <f>SUBTOTAL(103,B$2:B274)*1</f>
        <v>273</v>
      </c>
      <c r="B274" s="41" t="s">
        <v>1233</v>
      </c>
      <c r="C274" s="38">
        <v>45872</v>
      </c>
      <c r="D274" s="38"/>
    </row>
    <row r="275" spans="1:4" x14ac:dyDescent="0.25">
      <c r="A275" s="3">
        <f>SUBTOTAL(103,B$2:B275)*1</f>
        <v>274</v>
      </c>
      <c r="B275" s="41" t="s">
        <v>1236</v>
      </c>
      <c r="C275" s="38">
        <v>45872</v>
      </c>
      <c r="D275" s="38"/>
    </row>
    <row r="276" spans="1:4" x14ac:dyDescent="0.25">
      <c r="A276" s="3">
        <f>SUBTOTAL(103,B$2:B276)*1</f>
        <v>275</v>
      </c>
      <c r="B276" s="41" t="s">
        <v>1240</v>
      </c>
      <c r="C276" s="38">
        <v>45872</v>
      </c>
      <c r="D276" s="38"/>
    </row>
    <row r="277" spans="1:4" x14ac:dyDescent="0.25">
      <c r="A277" s="3">
        <f>SUBTOTAL(103,B$2:B277)*1</f>
        <v>276</v>
      </c>
      <c r="B277" s="41" t="s">
        <v>1241</v>
      </c>
      <c r="C277" s="38">
        <v>45872</v>
      </c>
      <c r="D277" s="38"/>
    </row>
    <row r="278" spans="1:4" x14ac:dyDescent="0.25">
      <c r="A278" s="3">
        <f>SUBTOTAL(103,B$2:B278)*1</f>
        <v>277</v>
      </c>
      <c r="B278" s="41" t="s">
        <v>1242</v>
      </c>
      <c r="C278" s="38">
        <v>45872</v>
      </c>
      <c r="D278" s="38"/>
    </row>
    <row r="279" spans="1:4" x14ac:dyDescent="0.25">
      <c r="A279" s="3">
        <f>SUBTOTAL(103,B$2:B279)*1</f>
        <v>278</v>
      </c>
      <c r="B279" s="41" t="s">
        <v>1243</v>
      </c>
      <c r="C279" s="38">
        <v>45872</v>
      </c>
      <c r="D279" s="38"/>
    </row>
    <row r="280" spans="1:4" x14ac:dyDescent="0.25">
      <c r="A280" s="3">
        <f>SUBTOTAL(103,B$2:B280)*1</f>
        <v>279</v>
      </c>
      <c r="B280" s="41" t="s">
        <v>1244</v>
      </c>
      <c r="C280" s="38">
        <v>45872</v>
      </c>
      <c r="D280" s="38"/>
    </row>
    <row r="281" spans="1:4" x14ac:dyDescent="0.25">
      <c r="A281" s="3">
        <f>SUBTOTAL(103,B$2:B281)*1</f>
        <v>280</v>
      </c>
      <c r="B281" s="48" t="s">
        <v>1216</v>
      </c>
      <c r="C281" s="38">
        <v>45872</v>
      </c>
      <c r="D281" s="38"/>
    </row>
    <row r="282" spans="1:4" x14ac:dyDescent="0.25">
      <c r="A282" s="3">
        <f>SUBTOTAL(103,B$2:B282)*1</f>
        <v>281</v>
      </c>
      <c r="B282" s="41" t="s">
        <v>1246</v>
      </c>
      <c r="C282" s="38">
        <v>45872</v>
      </c>
      <c r="D282" s="38"/>
    </row>
    <row r="283" spans="1:4" x14ac:dyDescent="0.25">
      <c r="A283" s="3">
        <f>SUBTOTAL(103,B$2:B283)*1</f>
        <v>282</v>
      </c>
      <c r="B283" s="41" t="s">
        <v>1221</v>
      </c>
      <c r="C283" s="38">
        <v>45872</v>
      </c>
      <c r="D283" s="38"/>
    </row>
    <row r="284" spans="1:4" x14ac:dyDescent="0.25">
      <c r="A284" s="3">
        <f>SUBTOTAL(103,B$2:B284)*1</f>
        <v>283</v>
      </c>
      <c r="B284" s="41" t="s">
        <v>1248</v>
      </c>
      <c r="C284" s="38">
        <v>45872</v>
      </c>
      <c r="D284" s="38"/>
    </row>
    <row r="285" spans="1:4" ht="28" x14ac:dyDescent="0.25">
      <c r="A285" s="3">
        <f>SUBTOTAL(103,B$2:B285)*1</f>
        <v>284</v>
      </c>
      <c r="B285" s="41" t="s">
        <v>1249</v>
      </c>
      <c r="C285" s="38">
        <v>45872</v>
      </c>
      <c r="D285" s="38"/>
    </row>
    <row r="286" spans="1:4" x14ac:dyDescent="0.25">
      <c r="A286" s="3">
        <f>SUBTOTAL(103,B$2:B286)*1</f>
        <v>285</v>
      </c>
      <c r="B286" s="41" t="s">
        <v>1250</v>
      </c>
      <c r="C286" s="38">
        <v>45872</v>
      </c>
      <c r="D286" s="38"/>
    </row>
    <row r="287" spans="1:4" x14ac:dyDescent="0.25">
      <c r="A287" s="3">
        <f>SUBTOTAL(103,B$2:B287)*1</f>
        <v>286</v>
      </c>
      <c r="B287" s="47" t="s">
        <v>1265</v>
      </c>
      <c r="C287" s="38">
        <v>45879</v>
      </c>
      <c r="D287" s="38"/>
    </row>
    <row r="288" spans="1:4" x14ac:dyDescent="0.25">
      <c r="A288" s="3">
        <f>SUBTOTAL(103,B$2:B288)*1</f>
        <v>287</v>
      </c>
      <c r="B288" s="47" t="s">
        <v>1262</v>
      </c>
      <c r="C288" s="38">
        <v>45879</v>
      </c>
      <c r="D288" s="38"/>
    </row>
    <row r="289" spans="1:4" x14ac:dyDescent="0.25">
      <c r="A289" s="3">
        <f>SUBTOTAL(103,B$2:B289)*1</f>
        <v>288</v>
      </c>
      <c r="B289" s="41" t="s">
        <v>1266</v>
      </c>
      <c r="C289" s="38">
        <v>45879</v>
      </c>
      <c r="D289" s="38"/>
    </row>
    <row r="290" spans="1:4" x14ac:dyDescent="0.25">
      <c r="A290" s="3">
        <f>SUBTOTAL(103,B$2:B290)*1</f>
        <v>289</v>
      </c>
      <c r="B290" s="47" t="s">
        <v>1267</v>
      </c>
      <c r="C290" s="38">
        <v>45879</v>
      </c>
      <c r="D290" s="38"/>
    </row>
    <row r="291" spans="1:4" x14ac:dyDescent="0.25">
      <c r="A291" s="3">
        <f>SUBTOTAL(103,B$2:B291)*1</f>
        <v>290</v>
      </c>
      <c r="B291" s="47" t="s">
        <v>1278</v>
      </c>
      <c r="C291" s="38">
        <v>45879</v>
      </c>
      <c r="D291" s="38"/>
    </row>
    <row r="292" spans="1:4" x14ac:dyDescent="0.25">
      <c r="A292" s="3">
        <f>SUBTOTAL(103,B$2:B292)*1</f>
        <v>291</v>
      </c>
      <c r="B292" s="47" t="s">
        <v>1268</v>
      </c>
      <c r="C292" s="38">
        <v>45879</v>
      </c>
      <c r="D292" s="38"/>
    </row>
    <row r="293" spans="1:4" x14ac:dyDescent="0.25">
      <c r="A293" s="3">
        <f>SUBTOTAL(103,B$2:B293)*1</f>
        <v>292</v>
      </c>
      <c r="B293" s="47" t="s">
        <v>1263</v>
      </c>
      <c r="C293" s="38">
        <v>45879</v>
      </c>
      <c r="D293" s="38"/>
    </row>
    <row r="294" spans="1:4" x14ac:dyDescent="0.25">
      <c r="A294" s="3">
        <f>SUBTOTAL(103,B$2:B294)*1</f>
        <v>293</v>
      </c>
      <c r="B294" s="47" t="s">
        <v>1269</v>
      </c>
      <c r="C294" s="38">
        <v>45879</v>
      </c>
      <c r="D294" s="38"/>
    </row>
    <row r="295" spans="1:4" x14ac:dyDescent="0.25">
      <c r="A295" s="3">
        <f>SUBTOTAL(103,B$2:B295)*1</f>
        <v>294</v>
      </c>
      <c r="B295" s="47" t="s">
        <v>1270</v>
      </c>
      <c r="C295" s="38">
        <v>45879</v>
      </c>
      <c r="D295" s="38"/>
    </row>
    <row r="296" spans="1:4" x14ac:dyDescent="0.25">
      <c r="A296" s="3">
        <f>SUBTOTAL(103,B$2:B296)*1</f>
        <v>295</v>
      </c>
      <c r="B296" s="48" t="s">
        <v>1264</v>
      </c>
      <c r="C296" s="38">
        <v>45879</v>
      </c>
      <c r="D296" s="38"/>
    </row>
    <row r="297" spans="1:4" x14ac:dyDescent="0.25">
      <c r="A297" s="3">
        <f>SUBTOTAL(103,B$2:B297)*1</f>
        <v>296</v>
      </c>
      <c r="B297" s="47" t="s">
        <v>1276</v>
      </c>
      <c r="C297" s="38">
        <v>45879</v>
      </c>
      <c r="D297" s="38"/>
    </row>
    <row r="298" spans="1:4" x14ac:dyDescent="0.25">
      <c r="A298" s="3">
        <f>SUBTOTAL(103,B$2:B298)*1</f>
        <v>297</v>
      </c>
      <c r="B298" s="47" t="s">
        <v>1284</v>
      </c>
      <c r="C298" s="38">
        <v>45886</v>
      </c>
      <c r="D298" s="38"/>
    </row>
    <row r="299" spans="1:4" x14ac:dyDescent="0.25">
      <c r="A299" s="3">
        <f>SUBTOTAL(103,B$2:B299)*1</f>
        <v>298</v>
      </c>
      <c r="B299" s="47" t="s">
        <v>1288</v>
      </c>
      <c r="C299" s="38">
        <v>45886</v>
      </c>
      <c r="D299" s="38"/>
    </row>
    <row r="300" spans="1:4" x14ac:dyDescent="0.25">
      <c r="A300" s="3">
        <f>SUBTOTAL(103,B$2:B300)*1</f>
        <v>299</v>
      </c>
      <c r="B300" s="47" t="s">
        <v>1289</v>
      </c>
      <c r="C300" s="38">
        <v>45886</v>
      </c>
      <c r="D300" s="38"/>
    </row>
    <row r="301" spans="1:4" x14ac:dyDescent="0.25">
      <c r="A301" s="3">
        <f>SUBTOTAL(103,B$2:B301)*1</f>
        <v>300</v>
      </c>
      <c r="B301" s="47" t="s">
        <v>1281</v>
      </c>
      <c r="C301" s="38">
        <v>45886</v>
      </c>
      <c r="D301" s="38"/>
    </row>
    <row r="302" spans="1:4" x14ac:dyDescent="0.25">
      <c r="A302" s="3">
        <f>SUBTOTAL(103,B$2:B302)*1</f>
        <v>301</v>
      </c>
      <c r="B302" s="47" t="s">
        <v>1290</v>
      </c>
      <c r="C302" s="38">
        <v>45886</v>
      </c>
      <c r="D302" s="38"/>
    </row>
    <row r="303" spans="1:4" x14ac:dyDescent="0.25">
      <c r="A303" s="3">
        <f>SUBTOTAL(103,B$2:B303)*1</f>
        <v>302</v>
      </c>
      <c r="B303" s="47" t="s">
        <v>1291</v>
      </c>
      <c r="C303" s="38">
        <v>45886</v>
      </c>
      <c r="D303" s="38"/>
    </row>
    <row r="304" spans="1:4" x14ac:dyDescent="0.25">
      <c r="A304" s="3">
        <f>SUBTOTAL(103,B$2:B304)*1</f>
        <v>303</v>
      </c>
      <c r="B304" s="47" t="s">
        <v>1292</v>
      </c>
      <c r="C304" s="38">
        <v>45886</v>
      </c>
      <c r="D304" s="38"/>
    </row>
    <row r="305" spans="1:4" x14ac:dyDescent="0.25">
      <c r="A305" s="3">
        <f>SUBTOTAL(103,B$2:B305)*1</f>
        <v>304</v>
      </c>
      <c r="B305" s="47" t="s">
        <v>1294</v>
      </c>
      <c r="C305" s="38">
        <v>45886</v>
      </c>
      <c r="D305" s="38"/>
    </row>
    <row r="306" spans="1:4" x14ac:dyDescent="0.25">
      <c r="A306" s="3">
        <f>SUBTOTAL(103,B$2:B306)*1</f>
        <v>305</v>
      </c>
      <c r="B306" s="47" t="s">
        <v>1293</v>
      </c>
      <c r="C306" s="38">
        <v>45886</v>
      </c>
      <c r="D306" s="38"/>
    </row>
    <row r="307" spans="1:4" x14ac:dyDescent="0.25">
      <c r="A307" s="3">
        <f>SUBTOTAL(103,B$2:B307)*1</f>
        <v>306</v>
      </c>
      <c r="B307" s="47" t="s">
        <v>1299</v>
      </c>
      <c r="C307" s="38">
        <v>45886</v>
      </c>
      <c r="D307" s="38"/>
    </row>
    <row r="308" spans="1:4" x14ac:dyDescent="0.25">
      <c r="A308" s="3">
        <f>SUBTOTAL(103,B$2:B308)*1</f>
        <v>307</v>
      </c>
      <c r="B308" s="48" t="s">
        <v>1282</v>
      </c>
      <c r="C308" s="38">
        <v>45886</v>
      </c>
      <c r="D308" s="38"/>
    </row>
    <row r="309" spans="1:4" x14ac:dyDescent="0.25">
      <c r="A309" s="3">
        <f>SUBTOTAL(103,B$2:B309)*1</f>
        <v>308</v>
      </c>
      <c r="B309" s="47" t="s">
        <v>1300</v>
      </c>
      <c r="C309" s="38">
        <v>45886</v>
      </c>
      <c r="D309" s="38"/>
    </row>
    <row r="310" spans="1:4" x14ac:dyDescent="0.25">
      <c r="A310" s="3">
        <f>SUBTOTAL(103,B$2:B310)*1</f>
        <v>309</v>
      </c>
      <c r="B310" s="47" t="s">
        <v>1302</v>
      </c>
      <c r="C310" s="38">
        <v>45886</v>
      </c>
      <c r="D310" s="38"/>
    </row>
    <row r="311" spans="1:4" x14ac:dyDescent="0.25">
      <c r="A311" s="3">
        <f>SUBTOTAL(103,B$2:B311)*1</f>
        <v>310</v>
      </c>
      <c r="B311" s="47" t="s">
        <v>1304</v>
      </c>
      <c r="C311" s="38">
        <v>45886</v>
      </c>
      <c r="D311" s="38"/>
    </row>
    <row r="312" spans="1:4" x14ac:dyDescent="0.25">
      <c r="A312" s="3">
        <f>SUBTOTAL(103,B$2:B312)*1</f>
        <v>311</v>
      </c>
      <c r="B312" s="47" t="s">
        <v>1305</v>
      </c>
      <c r="C312" s="38">
        <v>45886</v>
      </c>
      <c r="D312" s="38"/>
    </row>
    <row r="313" spans="1:4" x14ac:dyDescent="0.25">
      <c r="A313" s="3">
        <f>SUBTOTAL(103,B$2:B313)*1</f>
        <v>312</v>
      </c>
      <c r="B313" s="47" t="s">
        <v>1283</v>
      </c>
      <c r="C313" s="38">
        <v>45886</v>
      </c>
      <c r="D313" s="38"/>
    </row>
    <row r="314" spans="1:4" x14ac:dyDescent="0.25">
      <c r="A314" s="3">
        <f>SUBTOTAL(103,B$2:B314)*1</f>
        <v>313</v>
      </c>
      <c r="B314" s="47" t="s">
        <v>1306</v>
      </c>
      <c r="C314" s="38">
        <v>45886</v>
      </c>
      <c r="D314" s="38"/>
    </row>
    <row r="315" spans="1:4" x14ac:dyDescent="0.25">
      <c r="A315" s="3">
        <f>SUBTOTAL(103,B$2:B315)*1</f>
        <v>314</v>
      </c>
      <c r="B315" s="47" t="s">
        <v>1307</v>
      </c>
      <c r="C315" s="38">
        <v>45886</v>
      </c>
      <c r="D315" s="38"/>
    </row>
    <row r="316" spans="1:4" x14ac:dyDescent="0.25">
      <c r="A316" s="3">
        <f>SUBTOTAL(103,B$2:B316)*1</f>
        <v>315</v>
      </c>
      <c r="B316" s="47" t="s">
        <v>1308</v>
      </c>
      <c r="C316" s="38">
        <v>45886</v>
      </c>
      <c r="D316" s="38"/>
    </row>
    <row r="317" spans="1:4" x14ac:dyDescent="0.25">
      <c r="A317" s="3">
        <f>SUBTOTAL(103,B$2:B317)*1</f>
        <v>316</v>
      </c>
      <c r="B317" s="47" t="s">
        <v>1309</v>
      </c>
      <c r="C317" s="38">
        <v>45886</v>
      </c>
      <c r="D317" s="38"/>
    </row>
    <row r="318" spans="1:4" x14ac:dyDescent="0.25">
      <c r="A318" s="3">
        <f>SUBTOTAL(103,B$2:B318)*1</f>
        <v>317</v>
      </c>
      <c r="B318" s="48" t="s">
        <v>1329</v>
      </c>
      <c r="C318" s="38">
        <v>45893</v>
      </c>
      <c r="D318" s="38"/>
    </row>
    <row r="319" spans="1:4" x14ac:dyDescent="0.25">
      <c r="A319" s="3">
        <f>SUBTOTAL(103,B$2:B319)*1</f>
        <v>318</v>
      </c>
      <c r="B319" s="47" t="s">
        <v>1333</v>
      </c>
      <c r="C319" s="38">
        <v>45893</v>
      </c>
      <c r="D319" s="38"/>
    </row>
    <row r="320" spans="1:4" x14ac:dyDescent="0.25">
      <c r="A320" s="3">
        <f>SUBTOTAL(103,B$2:B320)*1</f>
        <v>319</v>
      </c>
      <c r="B320" s="47" t="s">
        <v>1334</v>
      </c>
      <c r="C320" s="38">
        <v>45893</v>
      </c>
      <c r="D320" s="38"/>
    </row>
    <row r="321" spans="1:4" ht="28" x14ac:dyDescent="0.25">
      <c r="A321" s="3">
        <f>SUBTOTAL(103,B$2:B321)*1</f>
        <v>320</v>
      </c>
      <c r="B321" s="48" t="s">
        <v>1330</v>
      </c>
      <c r="C321" s="38">
        <v>45893</v>
      </c>
      <c r="D321" s="38"/>
    </row>
    <row r="322" spans="1:4" x14ac:dyDescent="0.25">
      <c r="A322" s="3">
        <f>SUBTOTAL(103,B$2:B322)*1</f>
        <v>321</v>
      </c>
      <c r="B322" s="47" t="s">
        <v>1336</v>
      </c>
      <c r="C322" s="38">
        <v>45893</v>
      </c>
      <c r="D322" s="38"/>
    </row>
    <row r="323" spans="1:4" x14ac:dyDescent="0.25">
      <c r="A323" s="3">
        <f>SUBTOTAL(103,B$2:B323)*1</f>
        <v>322</v>
      </c>
      <c r="B323" s="47" t="s">
        <v>1343</v>
      </c>
      <c r="C323" s="38">
        <v>45893</v>
      </c>
      <c r="D323" s="38"/>
    </row>
    <row r="324" spans="1:4" x14ac:dyDescent="0.25">
      <c r="A324" s="3">
        <f>SUBTOTAL(103,B$2:B324)*1</f>
        <v>323</v>
      </c>
      <c r="B324" s="47" t="s">
        <v>1344</v>
      </c>
      <c r="C324" s="38">
        <v>45893</v>
      </c>
      <c r="D324" s="38"/>
    </row>
    <row r="325" spans="1:4" x14ac:dyDescent="0.25">
      <c r="A325" s="3">
        <f>SUBTOTAL(103,B$2:B325)*1</f>
        <v>324</v>
      </c>
      <c r="B325" s="47" t="s">
        <v>1345</v>
      </c>
      <c r="C325" s="38">
        <v>45893</v>
      </c>
      <c r="D325" s="38"/>
    </row>
    <row r="326" spans="1:4" x14ac:dyDescent="0.25">
      <c r="A326" s="3">
        <f>SUBTOTAL(103,B$2:B326)*1</f>
        <v>325</v>
      </c>
      <c r="B326" s="47" t="s">
        <v>1347</v>
      </c>
      <c r="C326" s="38">
        <v>45893</v>
      </c>
      <c r="D326" s="38"/>
    </row>
    <row r="327" spans="1:4" x14ac:dyDescent="0.25">
      <c r="A327" s="3">
        <f>SUBTOTAL(103,B$2:B327)*1</f>
        <v>326</v>
      </c>
      <c r="B327" s="47" t="s">
        <v>1350</v>
      </c>
      <c r="C327" s="38">
        <v>45893</v>
      </c>
      <c r="D327" s="38"/>
    </row>
    <row r="328" spans="1:4" x14ac:dyDescent="0.25">
      <c r="A328" s="3">
        <f>SUBTOTAL(103,B$2:B328)*1</f>
        <v>327</v>
      </c>
      <c r="B328" s="47" t="s">
        <v>1353</v>
      </c>
      <c r="C328" s="38">
        <v>45893</v>
      </c>
      <c r="D328" s="38"/>
    </row>
    <row r="329" spans="1:4" x14ac:dyDescent="0.25">
      <c r="A329" s="3">
        <f>SUBTOTAL(103,B$2:B329)*1</f>
        <v>328</v>
      </c>
      <c r="B329" s="47" t="s">
        <v>1335</v>
      </c>
      <c r="C329" s="38">
        <v>45893</v>
      </c>
      <c r="D329" s="38"/>
    </row>
    <row r="330" spans="1:4" x14ac:dyDescent="0.25">
      <c r="A330" s="3">
        <f>SUBTOTAL(103,B$2:B330)*1</f>
        <v>329</v>
      </c>
      <c r="B330" s="47" t="s">
        <v>1354</v>
      </c>
      <c r="C330" s="38">
        <v>45893</v>
      </c>
      <c r="D330" s="38"/>
    </row>
    <row r="331" spans="1:4" x14ac:dyDescent="0.25">
      <c r="A331" s="3">
        <f>SUBTOTAL(103,B$2:B331)*1</f>
        <v>330</v>
      </c>
      <c r="B331" s="48" t="s">
        <v>1331</v>
      </c>
      <c r="C331" s="38">
        <v>45893</v>
      </c>
      <c r="D331" s="38"/>
    </row>
    <row r="332" spans="1:4" x14ac:dyDescent="0.25">
      <c r="A332" s="3">
        <f>SUBTOTAL(103,B$2:B332)*1</f>
        <v>331</v>
      </c>
      <c r="B332" s="47" t="s">
        <v>1362</v>
      </c>
      <c r="C332" s="38">
        <v>45893</v>
      </c>
      <c r="D332" s="38"/>
    </row>
    <row r="333" spans="1:4" x14ac:dyDescent="0.25">
      <c r="A333" s="3">
        <f>SUBTOTAL(103,B$2:B333)*1</f>
        <v>332</v>
      </c>
      <c r="B333" s="47" t="s">
        <v>1356</v>
      </c>
      <c r="C333" s="38">
        <v>45893</v>
      </c>
      <c r="D333" s="38"/>
    </row>
    <row r="334" spans="1:4" x14ac:dyDescent="0.25">
      <c r="A334" s="3">
        <f>SUBTOTAL(103,B$2:B334)*1</f>
        <v>333</v>
      </c>
      <c r="B334" s="47" t="s">
        <v>1357</v>
      </c>
      <c r="C334" s="38">
        <v>45893</v>
      </c>
      <c r="D334" s="38"/>
    </row>
    <row r="335" spans="1:4" x14ac:dyDescent="0.25">
      <c r="A335" s="3">
        <f>SUBTOTAL(103,B$2:B335)*1</f>
        <v>334</v>
      </c>
      <c r="B335" s="47" t="s">
        <v>1358</v>
      </c>
      <c r="C335" s="38">
        <v>45893</v>
      </c>
      <c r="D335" s="38"/>
    </row>
    <row r="336" spans="1:4" x14ac:dyDescent="0.25">
      <c r="A336" s="3">
        <f>SUBTOTAL(103,B$2:B336)*1</f>
        <v>335</v>
      </c>
      <c r="B336" s="47" t="s">
        <v>1359</v>
      </c>
      <c r="C336" s="38">
        <v>45893</v>
      </c>
      <c r="D336" s="38"/>
    </row>
    <row r="337" spans="1:4" x14ac:dyDescent="0.25">
      <c r="A337" s="3">
        <f>SUBTOTAL(103,B$2:B337)*1</f>
        <v>336</v>
      </c>
      <c r="B337" s="47" t="s">
        <v>1332</v>
      </c>
      <c r="C337" s="38">
        <v>45893</v>
      </c>
      <c r="D337" s="38"/>
    </row>
    <row r="338" spans="1:4" x14ac:dyDescent="0.25">
      <c r="A338" s="3">
        <f>SUBTOTAL(103,B$2:B338)*1</f>
        <v>337</v>
      </c>
      <c r="B338" s="47" t="s">
        <v>1360</v>
      </c>
      <c r="C338" s="38">
        <v>45893</v>
      </c>
      <c r="D338" s="38"/>
    </row>
    <row r="339" spans="1:4" x14ac:dyDescent="0.25">
      <c r="A339" s="3">
        <f>SUBTOTAL(103,B$2:B339)*1</f>
        <v>338</v>
      </c>
      <c r="B339" s="47" t="s">
        <v>1368</v>
      </c>
      <c r="C339" s="38">
        <v>45900</v>
      </c>
      <c r="D339" s="38"/>
    </row>
    <row r="340" spans="1:4" x14ac:dyDescent="0.25">
      <c r="A340" s="3">
        <f>SUBTOTAL(103,B$2:B340)*1</f>
        <v>339</v>
      </c>
      <c r="B340" s="47" t="s">
        <v>1369</v>
      </c>
      <c r="C340" s="38">
        <v>45900</v>
      </c>
      <c r="D340" s="38"/>
    </row>
    <row r="341" spans="1:4" x14ac:dyDescent="0.25">
      <c r="A341" s="3">
        <f>SUBTOTAL(103,B$2:B341)*1</f>
        <v>340</v>
      </c>
      <c r="B341" s="47" t="s">
        <v>1377</v>
      </c>
      <c r="C341" s="38">
        <v>45900</v>
      </c>
      <c r="D341" s="38"/>
    </row>
    <row r="342" spans="1:4" x14ac:dyDescent="0.25">
      <c r="A342" s="3">
        <f>SUBTOTAL(103,B$2:B342)*1</f>
        <v>341</v>
      </c>
      <c r="B342" s="47" t="s">
        <v>1378</v>
      </c>
      <c r="C342" s="38">
        <v>45900</v>
      </c>
      <c r="D342" s="38"/>
    </row>
    <row r="343" spans="1:4" x14ac:dyDescent="0.25">
      <c r="A343" s="3">
        <f>SUBTOTAL(103,B$2:B343)*1</f>
        <v>342</v>
      </c>
      <c r="B343" s="47" t="s">
        <v>1379</v>
      </c>
      <c r="C343" s="38">
        <v>45900</v>
      </c>
      <c r="D343" s="38"/>
    </row>
    <row r="344" spans="1:4" x14ac:dyDescent="0.25">
      <c r="A344" s="3">
        <f>SUBTOTAL(103,B$2:B344)*1</f>
        <v>343</v>
      </c>
      <c r="B344" s="47" t="s">
        <v>1380</v>
      </c>
      <c r="C344" s="38">
        <v>45900</v>
      </c>
      <c r="D344" s="38"/>
    </row>
    <row r="345" spans="1:4" x14ac:dyDescent="0.25">
      <c r="A345" s="3">
        <f>SUBTOTAL(103,B$2:B345)*1</f>
        <v>344</v>
      </c>
      <c r="B345" s="48" t="s">
        <v>1367</v>
      </c>
      <c r="C345" s="38">
        <v>45900</v>
      </c>
      <c r="D345" s="53" t="s">
        <v>1382</v>
      </c>
    </row>
    <row r="346" spans="1:4" x14ac:dyDescent="0.25">
      <c r="A346" s="3">
        <f>SUBTOTAL(103,B$2:B346)*1</f>
        <v>345</v>
      </c>
      <c r="B346" s="47" t="s">
        <v>1381</v>
      </c>
      <c r="C346" s="38">
        <v>45900</v>
      </c>
      <c r="D346" s="38"/>
    </row>
    <row r="347" spans="1:4" x14ac:dyDescent="0.25">
      <c r="A347" s="3">
        <f>SUBTOTAL(103,B$2:B347)*1</f>
        <v>346</v>
      </c>
      <c r="B347" s="47" t="s">
        <v>1383</v>
      </c>
      <c r="C347" s="38">
        <v>45900</v>
      </c>
      <c r="D347" s="38"/>
    </row>
    <row r="348" spans="1:4" x14ac:dyDescent="0.25">
      <c r="A348" s="3">
        <f>SUBTOTAL(103,B$2:B348)*1</f>
        <v>347</v>
      </c>
      <c r="B348" s="47" t="s">
        <v>1384</v>
      </c>
      <c r="C348" s="38">
        <v>45900</v>
      </c>
      <c r="D348" s="38"/>
    </row>
    <row r="349" spans="1:4" x14ac:dyDescent="0.25">
      <c r="A349" s="3">
        <f>SUBTOTAL(103,B$2:B349)*1</f>
        <v>348</v>
      </c>
      <c r="B349" s="47" t="s">
        <v>1385</v>
      </c>
      <c r="C349" s="38">
        <v>45900</v>
      </c>
      <c r="D349" s="38"/>
    </row>
    <row r="350" spans="1:4" x14ac:dyDescent="0.25">
      <c r="A350" s="3">
        <f>SUBTOTAL(103,B$2:B350)*1</f>
        <v>349</v>
      </c>
      <c r="B350" s="47" t="s">
        <v>1386</v>
      </c>
      <c r="C350" s="38">
        <v>45900</v>
      </c>
      <c r="D350" s="38"/>
    </row>
    <row r="351" spans="1:4" x14ac:dyDescent="0.25">
      <c r="A351" s="3">
        <f>SUBTOTAL(103,B$2:B351)*1</f>
        <v>350</v>
      </c>
      <c r="B351" s="47" t="s">
        <v>1387</v>
      </c>
      <c r="C351" s="38">
        <v>45900</v>
      </c>
      <c r="D351" s="38"/>
    </row>
    <row r="352" spans="1:4" x14ac:dyDescent="0.25">
      <c r="A352" s="3">
        <f>SUBTOTAL(103,B$2:B352)*1</f>
        <v>351</v>
      </c>
      <c r="B352" s="47" t="s">
        <v>1390</v>
      </c>
      <c r="C352" s="38">
        <v>45900</v>
      </c>
      <c r="D352" s="38"/>
    </row>
    <row r="353" spans="1:4" x14ac:dyDescent="0.25">
      <c r="A353" s="3">
        <f>SUBTOTAL(103,B$2:B353)*1</f>
        <v>352</v>
      </c>
      <c r="B353" s="47" t="s">
        <v>1391</v>
      </c>
      <c r="C353" s="38">
        <v>45900</v>
      </c>
      <c r="D353" s="38"/>
    </row>
    <row r="354" spans="1:4" x14ac:dyDescent="0.25">
      <c r="A354" s="3">
        <f>SUBTOTAL(103,B$2:B354)*1</f>
        <v>353</v>
      </c>
      <c r="B354" s="47" t="s">
        <v>1392</v>
      </c>
      <c r="C354" s="38">
        <v>45900</v>
      </c>
      <c r="D354" s="38"/>
    </row>
    <row r="355" spans="1:4" x14ac:dyDescent="0.25">
      <c r="A355" s="3">
        <f>SUBTOTAL(103,B$2:B355)*1</f>
        <v>354</v>
      </c>
      <c r="B355" s="47" t="s">
        <v>1395</v>
      </c>
      <c r="C355" s="38">
        <v>45900</v>
      </c>
      <c r="D355" s="38"/>
    </row>
    <row r="356" spans="1:4" x14ac:dyDescent="0.25">
      <c r="A356" s="3">
        <f>SUBTOTAL(103,B$2:B356)*1</f>
        <v>355</v>
      </c>
      <c r="B356" s="47" t="s">
        <v>1393</v>
      </c>
      <c r="C356" s="38">
        <v>45900</v>
      </c>
      <c r="D356" s="38"/>
    </row>
    <row r="357" spans="1:4" x14ac:dyDescent="0.25">
      <c r="A357" s="3">
        <f>SUBTOTAL(103,B$2:B357)*1</f>
        <v>356</v>
      </c>
      <c r="B357" s="47" t="s">
        <v>1396</v>
      </c>
      <c r="C357" s="38">
        <v>45900</v>
      </c>
      <c r="D357" s="38"/>
    </row>
    <row r="358" spans="1:4" x14ac:dyDescent="0.25">
      <c r="A358" s="3">
        <f>SUBTOTAL(103,B$2:B358)*1</f>
        <v>357</v>
      </c>
      <c r="B358" s="47" t="s">
        <v>1394</v>
      </c>
      <c r="C358" s="38">
        <v>45900</v>
      </c>
      <c r="D358" s="38"/>
    </row>
    <row r="359" spans="1:4" x14ac:dyDescent="0.25">
      <c r="A359" s="3">
        <f>SUBTOTAL(103,B$2:B359)*1</f>
        <v>358</v>
      </c>
      <c r="B359" s="47" t="s">
        <v>1416</v>
      </c>
      <c r="C359" s="38">
        <v>45907</v>
      </c>
      <c r="D359" s="38"/>
    </row>
    <row r="360" spans="1:4" x14ac:dyDescent="0.25">
      <c r="A360" s="3">
        <f>SUBTOTAL(103,B$2:B360)*1</f>
        <v>359</v>
      </c>
      <c r="B360" s="48" t="s">
        <v>1410</v>
      </c>
      <c r="C360" s="38">
        <v>45907</v>
      </c>
      <c r="D360" s="53" t="s">
        <v>1451</v>
      </c>
    </row>
    <row r="361" spans="1:4" x14ac:dyDescent="0.25">
      <c r="A361" s="3">
        <f>SUBTOTAL(103,B$2:B361)*1</f>
        <v>360</v>
      </c>
      <c r="B361" s="41" t="s">
        <v>1424</v>
      </c>
      <c r="C361" s="38">
        <v>45907</v>
      </c>
      <c r="D361" s="38"/>
    </row>
    <row r="362" spans="1:4" x14ac:dyDescent="0.25">
      <c r="A362" s="3">
        <f>SUBTOTAL(103,B$2:B362)*1</f>
        <v>361</v>
      </c>
      <c r="B362" s="41" t="s">
        <v>1417</v>
      </c>
      <c r="C362" s="38">
        <v>45907</v>
      </c>
      <c r="D362" s="38"/>
    </row>
    <row r="363" spans="1:4" x14ac:dyDescent="0.25">
      <c r="A363" s="3">
        <f>SUBTOTAL(103,B$2:B363)*1</f>
        <v>362</v>
      </c>
      <c r="B363" s="41" t="s">
        <v>1419</v>
      </c>
      <c r="C363" s="38">
        <v>45907</v>
      </c>
      <c r="D363" s="38"/>
    </row>
    <row r="364" spans="1:4" x14ac:dyDescent="0.25">
      <c r="A364" s="3">
        <f>SUBTOTAL(103,B$2:B364)*1</f>
        <v>363</v>
      </c>
      <c r="B364" s="41" t="s">
        <v>1420</v>
      </c>
      <c r="C364" s="38">
        <v>45907</v>
      </c>
      <c r="D364" s="38"/>
    </row>
    <row r="365" spans="1:4" x14ac:dyDescent="0.25">
      <c r="A365" s="3">
        <f>SUBTOTAL(103,B$2:B365)*1</f>
        <v>364</v>
      </c>
      <c r="B365" s="48" t="s">
        <v>1421</v>
      </c>
      <c r="C365" s="38">
        <v>45907</v>
      </c>
      <c r="D365" s="53" t="s">
        <v>1451</v>
      </c>
    </row>
    <row r="366" spans="1:4" x14ac:dyDescent="0.25">
      <c r="A366" s="3">
        <f>SUBTOTAL(103,B$2:B366)*1</f>
        <v>365</v>
      </c>
      <c r="B366" s="47" t="s">
        <v>1422</v>
      </c>
      <c r="C366" s="38">
        <v>45907</v>
      </c>
      <c r="D366" s="38"/>
    </row>
    <row r="367" spans="1:4" x14ac:dyDescent="0.25">
      <c r="A367" s="3">
        <f>SUBTOTAL(103,B$2:B367)*1</f>
        <v>366</v>
      </c>
      <c r="B367" s="47" t="s">
        <v>1423</v>
      </c>
      <c r="C367" s="38">
        <v>45907</v>
      </c>
      <c r="D367" s="38"/>
    </row>
    <row r="368" spans="1:4" x14ac:dyDescent="0.25">
      <c r="A368" s="3">
        <f>SUBTOTAL(103,B$2:B368)*1</f>
        <v>367</v>
      </c>
      <c r="B368" s="47" t="s">
        <v>1431</v>
      </c>
      <c r="C368" s="38">
        <v>45907</v>
      </c>
      <c r="D368" s="38"/>
    </row>
    <row r="369" spans="1:4" x14ac:dyDescent="0.25">
      <c r="A369" s="3">
        <f>SUBTOTAL(103,B$2:B369)*1</f>
        <v>368</v>
      </c>
      <c r="B369" s="47" t="s">
        <v>1434</v>
      </c>
      <c r="C369" s="38">
        <v>45907</v>
      </c>
      <c r="D369" s="38"/>
    </row>
    <row r="370" spans="1:4" x14ac:dyDescent="0.25">
      <c r="A370" s="3">
        <f>SUBTOTAL(103,B$2:B370)*1</f>
        <v>369</v>
      </c>
      <c r="B370" s="47" t="s">
        <v>1435</v>
      </c>
      <c r="C370" s="38">
        <v>45907</v>
      </c>
      <c r="D370" s="38"/>
    </row>
    <row r="371" spans="1:4" x14ac:dyDescent="0.25">
      <c r="A371" s="3">
        <f>SUBTOTAL(103,B$2:B371)*1</f>
        <v>370</v>
      </c>
      <c r="B371" s="47" t="s">
        <v>1436</v>
      </c>
      <c r="C371" s="38">
        <v>45907</v>
      </c>
      <c r="D371" s="38"/>
    </row>
    <row r="372" spans="1:4" x14ac:dyDescent="0.25">
      <c r="A372" s="3">
        <f>SUBTOTAL(103,B$2:B372)*1</f>
        <v>371</v>
      </c>
      <c r="B372" s="47" t="s">
        <v>1439</v>
      </c>
      <c r="C372" s="38">
        <v>45907</v>
      </c>
      <c r="D372" s="38"/>
    </row>
    <row r="373" spans="1:4" x14ac:dyDescent="0.25">
      <c r="A373" s="3">
        <f>SUBTOTAL(103,B$2:B373)*1</f>
        <v>372</v>
      </c>
      <c r="B373" s="47" t="s">
        <v>1442</v>
      </c>
      <c r="C373" s="38">
        <v>45907</v>
      </c>
      <c r="D373" s="38"/>
    </row>
    <row r="374" spans="1:4" x14ac:dyDescent="0.25">
      <c r="A374" s="3">
        <f>SUBTOTAL(103,B$2:B374)*1</f>
        <v>373</v>
      </c>
      <c r="B374" s="47" t="s">
        <v>1443</v>
      </c>
      <c r="C374" s="38">
        <v>45907</v>
      </c>
      <c r="D374" s="38"/>
    </row>
    <row r="375" spans="1:4" x14ac:dyDescent="0.25">
      <c r="A375" s="3">
        <f>SUBTOTAL(103,B$2:B375)*1</f>
        <v>374</v>
      </c>
      <c r="B375" s="47" t="s">
        <v>1411</v>
      </c>
      <c r="C375" s="38">
        <v>45907</v>
      </c>
      <c r="D375" s="38"/>
    </row>
    <row r="376" spans="1:4" x14ac:dyDescent="0.25">
      <c r="A376" s="3">
        <f>SUBTOTAL(103,B$2:B376)*1</f>
        <v>375</v>
      </c>
      <c r="B376" s="47" t="s">
        <v>1445</v>
      </c>
      <c r="C376" s="38">
        <v>45907</v>
      </c>
      <c r="D376" s="38"/>
    </row>
    <row r="377" spans="1:4" x14ac:dyDescent="0.25">
      <c r="A377" s="3">
        <f>SUBTOTAL(103,B$2:B377)*1</f>
        <v>376</v>
      </c>
      <c r="B377" s="47" t="s">
        <v>1412</v>
      </c>
      <c r="C377" s="38">
        <v>45907</v>
      </c>
      <c r="D377" s="38"/>
    </row>
    <row r="378" spans="1:4" x14ac:dyDescent="0.25">
      <c r="A378" s="3">
        <f>SUBTOTAL(103,B$2:B378)*1</f>
        <v>377</v>
      </c>
      <c r="B378" s="47" t="s">
        <v>1413</v>
      </c>
      <c r="C378" s="38">
        <v>45907</v>
      </c>
      <c r="D378" s="38"/>
    </row>
    <row r="379" spans="1:4" x14ac:dyDescent="0.25">
      <c r="A379" s="3">
        <f>SUBTOTAL(103,B$2:B379)*1</f>
        <v>378</v>
      </c>
      <c r="B379" s="47" t="s">
        <v>1414</v>
      </c>
      <c r="C379" s="38">
        <v>45907</v>
      </c>
      <c r="D379" s="38"/>
    </row>
    <row r="380" spans="1:4" x14ac:dyDescent="0.25">
      <c r="A380" s="3">
        <f>SUBTOTAL(103,B$2:B380)*1</f>
        <v>379</v>
      </c>
      <c r="B380" s="47" t="s">
        <v>1415</v>
      </c>
      <c r="C380" s="38">
        <v>45907</v>
      </c>
      <c r="D380" s="38"/>
    </row>
    <row r="381" spans="1:4" ht="28" x14ac:dyDescent="0.25">
      <c r="A381" s="3">
        <f>SUBTOTAL(103,B$2:B381)*1</f>
        <v>380</v>
      </c>
      <c r="B381" s="47" t="s">
        <v>1454</v>
      </c>
      <c r="C381" s="38">
        <v>45914</v>
      </c>
      <c r="D381" s="38"/>
    </row>
    <row r="382" spans="1:4" x14ac:dyDescent="0.25">
      <c r="A382" s="3">
        <f>SUBTOTAL(103,B$2:B382)*1</f>
        <v>381</v>
      </c>
      <c r="B382" s="47" t="s">
        <v>1456</v>
      </c>
      <c r="C382" s="38">
        <v>45914</v>
      </c>
      <c r="D382" s="38"/>
    </row>
    <row r="383" spans="1:4" x14ac:dyDescent="0.25">
      <c r="A383" s="3">
        <f>SUBTOTAL(103,B$2:B383)*1</f>
        <v>382</v>
      </c>
      <c r="B383" s="47" t="s">
        <v>1457</v>
      </c>
      <c r="C383" s="38">
        <v>45914</v>
      </c>
      <c r="D383" s="38"/>
    </row>
    <row r="384" spans="1:4" x14ac:dyDescent="0.25">
      <c r="A384" s="3">
        <f>SUBTOTAL(103,B$2:B384)*1</f>
        <v>383</v>
      </c>
      <c r="B384" s="47" t="s">
        <v>1461</v>
      </c>
      <c r="C384" s="38">
        <v>45914</v>
      </c>
      <c r="D384" s="38"/>
    </row>
    <row r="385" spans="1:4" x14ac:dyDescent="0.25">
      <c r="A385" s="3">
        <f>SUBTOTAL(103,B$2:B385)*1</f>
        <v>384</v>
      </c>
      <c r="B385" s="47" t="s">
        <v>1463</v>
      </c>
      <c r="C385" s="38">
        <v>45914</v>
      </c>
      <c r="D385" s="38"/>
    </row>
    <row r="386" spans="1:4" x14ac:dyDescent="0.25">
      <c r="A386" s="3">
        <f>SUBTOTAL(103,B$2:B386)*1</f>
        <v>385</v>
      </c>
      <c r="B386" s="41" t="s">
        <v>1464</v>
      </c>
      <c r="C386" s="38">
        <v>45914</v>
      </c>
      <c r="D386" s="38"/>
    </row>
    <row r="387" spans="1:4" x14ac:dyDescent="0.25">
      <c r="A387" s="3">
        <f>SUBTOTAL(103,B$2:B387)*1</f>
        <v>386</v>
      </c>
      <c r="B387" s="41" t="s">
        <v>1465</v>
      </c>
      <c r="C387" s="38">
        <v>45914</v>
      </c>
      <c r="D387" s="38"/>
    </row>
    <row r="388" spans="1:4" x14ac:dyDescent="0.25">
      <c r="A388" s="3">
        <f>SUBTOTAL(103,B$2:B388)*1</f>
        <v>387</v>
      </c>
      <c r="B388" s="41" t="s">
        <v>1470</v>
      </c>
      <c r="C388" s="38">
        <v>45914</v>
      </c>
      <c r="D388" s="38"/>
    </row>
    <row r="389" spans="1:4" x14ac:dyDescent="0.25">
      <c r="A389" s="3">
        <f>SUBTOTAL(103,B$2:B389)*1</f>
        <v>388</v>
      </c>
      <c r="B389" s="41" t="s">
        <v>1472</v>
      </c>
      <c r="C389" s="38">
        <v>45914</v>
      </c>
      <c r="D389" s="38"/>
    </row>
    <row r="390" spans="1:4" x14ac:dyDescent="0.25">
      <c r="A390" s="3">
        <f>SUBTOTAL(103,B$2:B390)*1</f>
        <v>389</v>
      </c>
      <c r="B390" s="41" t="s">
        <v>1491</v>
      </c>
      <c r="C390" s="38">
        <v>45914</v>
      </c>
      <c r="D390" s="38"/>
    </row>
    <row r="391" spans="1:4" x14ac:dyDescent="0.25">
      <c r="A391" s="3">
        <f>SUBTOTAL(103,B$2:B391)*1</f>
        <v>390</v>
      </c>
      <c r="B391" s="41" t="s">
        <v>1473</v>
      </c>
      <c r="C391" s="38">
        <v>45914</v>
      </c>
      <c r="D391" s="38"/>
    </row>
    <row r="392" spans="1:4" x14ac:dyDescent="0.25">
      <c r="A392" s="3">
        <f>SUBTOTAL(103,B$2:B392)*1</f>
        <v>391</v>
      </c>
      <c r="B392" s="41" t="s">
        <v>1475</v>
      </c>
      <c r="C392" s="38">
        <v>45914</v>
      </c>
      <c r="D392" s="38"/>
    </row>
    <row r="393" spans="1:4" x14ac:dyDescent="0.25">
      <c r="A393" s="3">
        <f>SUBTOTAL(103,B$2:B393)*1</f>
        <v>392</v>
      </c>
      <c r="B393" s="41" t="s">
        <v>1477</v>
      </c>
      <c r="C393" s="38">
        <v>45914</v>
      </c>
      <c r="D393" s="38"/>
    </row>
    <row r="394" spans="1:4" x14ac:dyDescent="0.25">
      <c r="A394" s="3">
        <f>SUBTOTAL(103,B$2:B394)*1</f>
        <v>393</v>
      </c>
      <c r="B394" s="41" t="s">
        <v>1478</v>
      </c>
      <c r="C394" s="38">
        <v>45914</v>
      </c>
      <c r="D394" s="38"/>
    </row>
    <row r="395" spans="1:4" x14ac:dyDescent="0.25">
      <c r="A395" s="3">
        <f>SUBTOTAL(103,B$2:B395)*1</f>
        <v>394</v>
      </c>
      <c r="B395" s="47" t="s">
        <v>1480</v>
      </c>
      <c r="C395" s="38">
        <v>45914</v>
      </c>
      <c r="D395" s="38"/>
    </row>
    <row r="396" spans="1:4" x14ac:dyDescent="0.25">
      <c r="A396" s="3">
        <f>SUBTOTAL(103,B$2:B396)*1</f>
        <v>395</v>
      </c>
      <c r="B396" s="47" t="s">
        <v>1481</v>
      </c>
      <c r="C396" s="38">
        <v>45914</v>
      </c>
      <c r="D396" s="38"/>
    </row>
    <row r="397" spans="1:4" x14ac:dyDescent="0.25">
      <c r="A397" s="3">
        <f>SUBTOTAL(103,B$2:B397)*1</f>
        <v>396</v>
      </c>
      <c r="B397" s="47" t="s">
        <v>1482</v>
      </c>
      <c r="C397" s="38">
        <v>45914</v>
      </c>
      <c r="D397" s="38"/>
    </row>
    <row r="398" spans="1:4" x14ac:dyDescent="0.25">
      <c r="A398" s="3">
        <f>SUBTOTAL(103,B$2:B398)*1</f>
        <v>397</v>
      </c>
      <c r="B398" s="47" t="s">
        <v>1483</v>
      </c>
      <c r="C398" s="38">
        <v>45914</v>
      </c>
      <c r="D398" s="38"/>
    </row>
    <row r="399" spans="1:4" x14ac:dyDescent="0.25">
      <c r="A399" s="3">
        <f>SUBTOTAL(103,B$2:B399)*1</f>
        <v>398</v>
      </c>
      <c r="B399" s="47" t="s">
        <v>1485</v>
      </c>
      <c r="C399" s="38">
        <v>45914</v>
      </c>
      <c r="D399" s="38"/>
    </row>
    <row r="400" spans="1:4" x14ac:dyDescent="0.25">
      <c r="A400" s="3">
        <f>SUBTOTAL(103,B$2:B400)*1</f>
        <v>399</v>
      </c>
      <c r="B400" s="47" t="s">
        <v>1487</v>
      </c>
      <c r="C400" s="38">
        <v>45914</v>
      </c>
      <c r="D400" s="38"/>
    </row>
    <row r="401" spans="1:4" x14ac:dyDescent="0.25">
      <c r="A401" s="3">
        <f>SUBTOTAL(103,B$2:B401)*1</f>
        <v>400</v>
      </c>
      <c r="B401" s="47" t="s">
        <v>1488</v>
      </c>
      <c r="C401" s="38">
        <v>45914</v>
      </c>
      <c r="D401" s="38"/>
    </row>
    <row r="402" spans="1:4" x14ac:dyDescent="0.25">
      <c r="A402" s="3">
        <f>SUBTOTAL(103,B$2:B402)*1</f>
        <v>401</v>
      </c>
      <c r="B402" s="47" t="s">
        <v>1496</v>
      </c>
      <c r="C402" s="38">
        <v>45921</v>
      </c>
      <c r="D402" s="38"/>
    </row>
    <row r="403" spans="1:4" x14ac:dyDescent="0.25">
      <c r="A403" s="3">
        <f>SUBTOTAL(103,B$2:B403)*1</f>
        <v>402</v>
      </c>
      <c r="B403" s="47" t="s">
        <v>1503</v>
      </c>
      <c r="C403" s="38">
        <v>45921</v>
      </c>
      <c r="D403" s="38"/>
    </row>
    <row r="404" spans="1:4" x14ac:dyDescent="0.25">
      <c r="A404" s="3">
        <f>SUBTOTAL(103,B$2:B404)*1</f>
        <v>403</v>
      </c>
      <c r="B404" s="47" t="s">
        <v>1506</v>
      </c>
      <c r="C404" s="38">
        <v>45921</v>
      </c>
      <c r="D404" s="38"/>
    </row>
    <row r="405" spans="1:4" x14ac:dyDescent="0.25">
      <c r="A405" s="3">
        <f>SUBTOTAL(103,B$2:B405)*1</f>
        <v>404</v>
      </c>
      <c r="B405" s="47" t="s">
        <v>1509</v>
      </c>
      <c r="C405" s="38">
        <v>45921</v>
      </c>
      <c r="D405" s="38"/>
    </row>
    <row r="406" spans="1:4" x14ac:dyDescent="0.25">
      <c r="A406" s="3">
        <f>SUBTOTAL(103,B$2:B406)*1</f>
        <v>405</v>
      </c>
      <c r="B406" s="47" t="s">
        <v>1512</v>
      </c>
      <c r="C406" s="38">
        <v>45921</v>
      </c>
      <c r="D406" s="38"/>
    </row>
    <row r="407" spans="1:4" ht="28" x14ac:dyDescent="0.25">
      <c r="A407" s="3">
        <f>SUBTOTAL(103,B$2:B407)*1</f>
        <v>406</v>
      </c>
      <c r="B407" s="41" t="s">
        <v>1518</v>
      </c>
      <c r="C407" s="38">
        <v>45921</v>
      </c>
      <c r="D407" s="38"/>
    </row>
    <row r="408" spans="1:4" x14ac:dyDescent="0.25">
      <c r="A408" s="3">
        <f>SUBTOTAL(103,B$2:B408)*1</f>
        <v>407</v>
      </c>
      <c r="B408" s="47" t="s">
        <v>1516</v>
      </c>
      <c r="C408" s="38">
        <v>45921</v>
      </c>
      <c r="D408" s="38"/>
    </row>
    <row r="409" spans="1:4" x14ac:dyDescent="0.25">
      <c r="A409" s="3">
        <f>SUBTOTAL(103,B$2:B409)*1</f>
        <v>408</v>
      </c>
      <c r="B409" s="47" t="s">
        <v>1519</v>
      </c>
      <c r="C409" s="38">
        <v>45921</v>
      </c>
      <c r="D409" s="38"/>
    </row>
    <row r="410" spans="1:4" x14ac:dyDescent="0.25">
      <c r="A410" s="3">
        <f>SUBTOTAL(103,B$2:B410)*1</f>
        <v>409</v>
      </c>
      <c r="B410" s="47" t="s">
        <v>1521</v>
      </c>
      <c r="C410" s="38">
        <v>45921</v>
      </c>
      <c r="D410" s="38"/>
    </row>
    <row r="411" spans="1:4" x14ac:dyDescent="0.25">
      <c r="A411" s="3">
        <f>SUBTOTAL(103,B$2:B411)*1</f>
        <v>410</v>
      </c>
      <c r="B411" s="47" t="s">
        <v>1526</v>
      </c>
      <c r="C411" s="38">
        <v>45921</v>
      </c>
      <c r="D411" s="38"/>
    </row>
    <row r="412" spans="1:4" x14ac:dyDescent="0.25">
      <c r="A412" s="3">
        <f>SUBTOTAL(103,B$2:B412)*1</f>
        <v>411</v>
      </c>
      <c r="B412" s="47" t="s">
        <v>1528</v>
      </c>
      <c r="C412" s="38">
        <v>45921</v>
      </c>
      <c r="D412" s="38"/>
    </row>
    <row r="413" spans="1:4" x14ac:dyDescent="0.25">
      <c r="A413" s="3">
        <f>SUBTOTAL(103,B$2:B413)*1</f>
        <v>412</v>
      </c>
      <c r="B413" s="47" t="s">
        <v>1531</v>
      </c>
      <c r="C413" s="38">
        <v>45921</v>
      </c>
      <c r="D413" s="38"/>
    </row>
    <row r="414" spans="1:4" x14ac:dyDescent="0.25">
      <c r="A414" s="3">
        <f>SUBTOTAL(103,B$2:B414)*1</f>
        <v>413</v>
      </c>
      <c r="B414" s="41" t="s">
        <v>1548</v>
      </c>
      <c r="C414" s="38">
        <v>45921</v>
      </c>
      <c r="D414" s="38"/>
    </row>
    <row r="415" spans="1:4" x14ac:dyDescent="0.25">
      <c r="A415" s="3">
        <f>SUBTOTAL(103,B$2:B415)*1</f>
        <v>414</v>
      </c>
      <c r="B415" s="47" t="s">
        <v>1534</v>
      </c>
      <c r="C415" s="38">
        <v>45921</v>
      </c>
      <c r="D415" s="38"/>
    </row>
    <row r="416" spans="1:4" x14ac:dyDescent="0.25">
      <c r="A416" s="3">
        <f>SUBTOTAL(103,B$2:B416)*1</f>
        <v>415</v>
      </c>
      <c r="B416" s="41" t="s">
        <v>1540</v>
      </c>
      <c r="C416" s="38">
        <v>45921</v>
      </c>
      <c r="D416" s="38"/>
    </row>
    <row r="417" spans="1:4" x14ac:dyDescent="0.25">
      <c r="A417" s="3">
        <f>SUBTOTAL(103,B$2:B417)*1</f>
        <v>416</v>
      </c>
      <c r="B417" s="41" t="s">
        <v>1542</v>
      </c>
      <c r="C417" s="38">
        <v>45921</v>
      </c>
      <c r="D417" s="38"/>
    </row>
    <row r="418" spans="1:4" x14ac:dyDescent="0.25">
      <c r="A418" s="3">
        <f>SUBTOTAL(103,B$2:B418)*1</f>
        <v>417</v>
      </c>
      <c r="B418" s="47" t="s">
        <v>1537</v>
      </c>
      <c r="C418" s="38">
        <v>45921</v>
      </c>
      <c r="D418" s="38"/>
    </row>
    <row r="419" spans="1:4" x14ac:dyDescent="0.25">
      <c r="A419" s="3">
        <f>SUBTOTAL(103,B$2:B419)*1</f>
        <v>418</v>
      </c>
      <c r="B419" s="47" t="s">
        <v>1538</v>
      </c>
      <c r="C419" s="38">
        <v>45921</v>
      </c>
      <c r="D419" s="38"/>
    </row>
    <row r="420" spans="1:4" x14ac:dyDescent="0.25">
      <c r="A420" s="3">
        <f>SUBTOTAL(103,B$2:B420)*1</f>
        <v>419</v>
      </c>
      <c r="B420" s="47" t="s">
        <v>1539</v>
      </c>
      <c r="C420" s="38">
        <v>45921</v>
      </c>
      <c r="D420" s="38"/>
    </row>
    <row r="421" spans="1:4" x14ac:dyDescent="0.25">
      <c r="A421" s="3">
        <f>SUBTOTAL(103,B$2:B421)*1</f>
        <v>420</v>
      </c>
      <c r="B421" s="41" t="s">
        <v>1543</v>
      </c>
      <c r="C421" s="38">
        <v>45921</v>
      </c>
      <c r="D421" s="38"/>
    </row>
    <row r="422" spans="1:4" x14ac:dyDescent="0.25">
      <c r="A422" s="3">
        <f>SUBTOTAL(103,B$2:B422)*1</f>
        <v>421</v>
      </c>
      <c r="B422" s="47" t="s">
        <v>1551</v>
      </c>
      <c r="C422" s="38">
        <v>45928</v>
      </c>
      <c r="D422" s="38"/>
    </row>
    <row r="423" spans="1:4" x14ac:dyDescent="0.25">
      <c r="A423" s="3">
        <f>SUBTOTAL(103,B$2:B423)*1</f>
        <v>422</v>
      </c>
      <c r="B423" s="47" t="s">
        <v>1557</v>
      </c>
      <c r="C423" s="38">
        <v>45928</v>
      </c>
      <c r="D423" s="38"/>
    </row>
    <row r="424" spans="1:4" x14ac:dyDescent="0.25">
      <c r="A424" s="3">
        <f>SUBTOTAL(103,B$2:B424)*1</f>
        <v>423</v>
      </c>
      <c r="B424" s="41" t="s">
        <v>1558</v>
      </c>
      <c r="C424" s="38">
        <v>45928</v>
      </c>
      <c r="D424" s="38"/>
    </row>
    <row r="425" spans="1:4" x14ac:dyDescent="0.25">
      <c r="A425" s="3">
        <f>SUBTOTAL(103,B$2:B425)*1</f>
        <v>424</v>
      </c>
      <c r="B425" s="47" t="s">
        <v>1559</v>
      </c>
      <c r="C425" s="38">
        <v>45928</v>
      </c>
      <c r="D425" s="38"/>
    </row>
    <row r="426" spans="1:4" x14ac:dyDescent="0.25">
      <c r="A426" s="3">
        <f>SUBTOTAL(103,B$2:B426)*1</f>
        <v>425</v>
      </c>
      <c r="B426" s="47" t="s">
        <v>1561</v>
      </c>
      <c r="C426" s="38">
        <v>45928</v>
      </c>
      <c r="D426" s="38"/>
    </row>
    <row r="427" spans="1:4" x14ac:dyDescent="0.25">
      <c r="A427" s="3">
        <f>SUBTOTAL(103,B$2:B427)*1</f>
        <v>426</v>
      </c>
      <c r="B427" s="47" t="s">
        <v>1562</v>
      </c>
      <c r="C427" s="38">
        <v>45928</v>
      </c>
      <c r="D427" s="38"/>
    </row>
    <row r="428" spans="1:4" x14ac:dyDescent="0.25">
      <c r="A428" s="3">
        <f>SUBTOTAL(103,B$2:B428)*1</f>
        <v>427</v>
      </c>
      <c r="B428" s="47" t="s">
        <v>1564</v>
      </c>
      <c r="C428" s="38">
        <v>45928</v>
      </c>
      <c r="D428" s="38"/>
    </row>
    <row r="429" spans="1:4" x14ac:dyDescent="0.25">
      <c r="A429" s="3">
        <f>SUBTOTAL(103,B$2:B429)*1</f>
        <v>428</v>
      </c>
      <c r="B429" s="47" t="s">
        <v>1565</v>
      </c>
      <c r="C429" s="38">
        <v>45928</v>
      </c>
      <c r="D429" s="38"/>
    </row>
    <row r="430" spans="1:4" x14ac:dyDescent="0.25">
      <c r="A430" s="3">
        <f>SUBTOTAL(103,B$2:B430)*1</f>
        <v>429</v>
      </c>
      <c r="B430" s="47" t="s">
        <v>1566</v>
      </c>
      <c r="C430" s="38">
        <v>45928</v>
      </c>
      <c r="D430" s="38"/>
    </row>
    <row r="431" spans="1:4" x14ac:dyDescent="0.25">
      <c r="A431" s="3">
        <f>SUBTOTAL(103,B$2:B431)*1</f>
        <v>430</v>
      </c>
      <c r="B431" s="47" t="s">
        <v>1550</v>
      </c>
      <c r="C431" s="38">
        <v>45928</v>
      </c>
      <c r="D431" s="38"/>
    </row>
    <row r="432" spans="1:4" x14ac:dyDescent="0.25">
      <c r="A432" s="3">
        <f>SUBTOTAL(103,B$2:B432)*1</f>
        <v>431</v>
      </c>
      <c r="B432" s="47" t="s">
        <v>1567</v>
      </c>
      <c r="C432" s="38">
        <v>45928</v>
      </c>
      <c r="D432" s="38"/>
    </row>
    <row r="433" spans="1:4" x14ac:dyDescent="0.25">
      <c r="A433" s="3">
        <f>SUBTOTAL(103,B$2:B433)*1</f>
        <v>432</v>
      </c>
      <c r="B433" s="47" t="s">
        <v>1568</v>
      </c>
      <c r="C433" s="38">
        <v>45928</v>
      </c>
      <c r="D433" s="38"/>
    </row>
    <row r="434" spans="1:4" x14ac:dyDescent="0.25">
      <c r="A434" s="3">
        <f>SUBTOTAL(103,B$2:B434)*1</f>
        <v>433</v>
      </c>
      <c r="B434" s="47" t="s">
        <v>1569</v>
      </c>
      <c r="C434" s="38">
        <v>45928</v>
      </c>
      <c r="D434" s="38"/>
    </row>
    <row r="435" spans="1:4" x14ac:dyDescent="0.25">
      <c r="A435" s="3">
        <f>SUBTOTAL(103,B$2:B435)*1</f>
        <v>434</v>
      </c>
      <c r="B435" s="47" t="s">
        <v>1570</v>
      </c>
      <c r="C435" s="38">
        <v>45928</v>
      </c>
      <c r="D435" s="38"/>
    </row>
    <row r="436" spans="1:4" x14ac:dyDescent="0.25">
      <c r="A436" s="3">
        <f>SUBTOTAL(103,B$2:B436)*1</f>
        <v>435</v>
      </c>
      <c r="B436" s="47" t="s">
        <v>1571</v>
      </c>
      <c r="C436" s="38">
        <v>45928</v>
      </c>
      <c r="D436" s="38"/>
    </row>
    <row r="437" spans="1:4" x14ac:dyDescent="0.25">
      <c r="A437" s="3">
        <f>SUBTOTAL(103,B$2:B437)*1</f>
        <v>436</v>
      </c>
      <c r="B437" s="47" t="s">
        <v>1573</v>
      </c>
      <c r="C437" s="38">
        <v>45928</v>
      </c>
      <c r="D437" s="38"/>
    </row>
    <row r="438" spans="1:4" x14ac:dyDescent="0.25">
      <c r="A438" s="3">
        <f>SUBTOTAL(103,B$2:B438)*1</f>
        <v>437</v>
      </c>
      <c r="B438" s="47" t="s">
        <v>1574</v>
      </c>
      <c r="C438" s="38">
        <v>45928</v>
      </c>
      <c r="D438" s="38"/>
    </row>
    <row r="439" spans="1:4" x14ac:dyDescent="0.25">
      <c r="A439" s="3">
        <f>SUBTOTAL(103,B$2:B439)*1</f>
        <v>438</v>
      </c>
      <c r="B439" s="47" t="s">
        <v>1576</v>
      </c>
      <c r="C439" s="38">
        <v>45928</v>
      </c>
      <c r="D439" s="38"/>
    </row>
    <row r="440" spans="1:4" x14ac:dyDescent="0.25">
      <c r="A440" s="3">
        <f>SUBTOTAL(103,B$2:B440)*1</f>
        <v>439</v>
      </c>
      <c r="B440" s="47" t="s">
        <v>1577</v>
      </c>
      <c r="C440" s="38">
        <v>45928</v>
      </c>
      <c r="D440" s="38"/>
    </row>
    <row r="441" spans="1:4" x14ac:dyDescent="0.25">
      <c r="A441" s="3">
        <f>SUBTOTAL(103,B$2:B441)*1</f>
        <v>440</v>
      </c>
      <c r="B441" s="47" t="s">
        <v>1579</v>
      </c>
      <c r="C441" s="38">
        <v>45928</v>
      </c>
      <c r="D441" s="38"/>
    </row>
    <row r="442" spans="1:4" x14ac:dyDescent="0.25">
      <c r="A442" s="3">
        <f>SUBTOTAL(103,B$2:B442)*1</f>
        <v>441</v>
      </c>
      <c r="B442" s="47" t="s">
        <v>1597</v>
      </c>
      <c r="C442" s="38">
        <v>45938</v>
      </c>
      <c r="D442" s="38"/>
    </row>
    <row r="443" spans="1:4" x14ac:dyDescent="0.25">
      <c r="A443" s="3">
        <f>SUBTOTAL(103,B$2:B443)*1</f>
        <v>442</v>
      </c>
      <c r="B443" s="47" t="s">
        <v>1598</v>
      </c>
      <c r="C443" s="38">
        <v>45938</v>
      </c>
      <c r="D443" s="38"/>
    </row>
    <row r="444" spans="1:4" x14ac:dyDescent="0.25">
      <c r="A444" s="3">
        <f>SUBTOTAL(103,B$2:B444)*1</f>
        <v>443</v>
      </c>
      <c r="B444" s="47" t="s">
        <v>1599</v>
      </c>
      <c r="C444" s="38">
        <v>45938</v>
      </c>
      <c r="D444" s="38"/>
    </row>
    <row r="445" spans="1:4" x14ac:dyDescent="0.25">
      <c r="A445" s="3">
        <f>SUBTOTAL(103,B$2:B445)*1</f>
        <v>444</v>
      </c>
      <c r="B445" s="47" t="s">
        <v>1601</v>
      </c>
      <c r="C445" s="38">
        <v>45938</v>
      </c>
      <c r="D445" s="38"/>
    </row>
    <row r="446" spans="1:4" x14ac:dyDescent="0.25">
      <c r="A446" s="3">
        <f>SUBTOTAL(103,B$2:B446)*1</f>
        <v>445</v>
      </c>
      <c r="B446" s="48" t="s">
        <v>1595</v>
      </c>
      <c r="C446" s="38">
        <v>45938</v>
      </c>
      <c r="D446" s="38"/>
    </row>
    <row r="447" spans="1:4" x14ac:dyDescent="0.25">
      <c r="A447" s="3">
        <f>SUBTOTAL(103,B$2:B447)*1</f>
        <v>446</v>
      </c>
      <c r="B447" s="47" t="s">
        <v>1596</v>
      </c>
      <c r="C447" s="38">
        <v>45938</v>
      </c>
      <c r="D447" s="38"/>
    </row>
    <row r="448" spans="1:4" x14ac:dyDescent="0.25">
      <c r="A448" s="3">
        <f>SUBTOTAL(103,B$2:B448)*1</f>
        <v>447</v>
      </c>
      <c r="B448" s="47" t="s">
        <v>1605</v>
      </c>
      <c r="C448" s="38">
        <v>45938</v>
      </c>
      <c r="D448" s="38"/>
    </row>
    <row r="449" spans="1:4" x14ac:dyDescent="0.25">
      <c r="A449" s="3">
        <f>SUBTOTAL(103,B$2:B449)*1</f>
        <v>448</v>
      </c>
      <c r="B449" s="47" t="s">
        <v>1606</v>
      </c>
      <c r="C449" s="38">
        <v>45938</v>
      </c>
      <c r="D449" s="38"/>
    </row>
    <row r="450" spans="1:4" x14ac:dyDescent="0.25">
      <c r="A450" s="3">
        <f>SUBTOTAL(103,B$2:B450)*1</f>
        <v>449</v>
      </c>
      <c r="B450" s="47" t="s">
        <v>1607</v>
      </c>
      <c r="C450" s="38">
        <v>45938</v>
      </c>
      <c r="D450" s="38"/>
    </row>
    <row r="451" spans="1:4" x14ac:dyDescent="0.25">
      <c r="A451" s="3">
        <f>SUBTOTAL(103,B$2:B451)*1</f>
        <v>450</v>
      </c>
      <c r="B451" s="47" t="s">
        <v>1609</v>
      </c>
      <c r="C451" s="38">
        <v>45938</v>
      </c>
      <c r="D451" s="38"/>
    </row>
    <row r="452" spans="1:4" x14ac:dyDescent="0.25">
      <c r="A452" s="3">
        <f>SUBTOTAL(103,B$2:B452)*1</f>
        <v>451</v>
      </c>
      <c r="B452" s="47" t="s">
        <v>1610</v>
      </c>
      <c r="C452" s="38">
        <v>45942</v>
      </c>
      <c r="D452" s="38"/>
    </row>
    <row r="453" spans="1:4" x14ac:dyDescent="0.25">
      <c r="A453" s="3">
        <f>SUBTOTAL(103,B$2:B453)*1</f>
        <v>452</v>
      </c>
      <c r="B453" s="47" t="s">
        <v>1612</v>
      </c>
      <c r="C453" s="38">
        <v>45942</v>
      </c>
      <c r="D453" s="38"/>
    </row>
    <row r="454" spans="1:4" x14ac:dyDescent="0.25">
      <c r="A454" s="3">
        <f>SUBTOTAL(103,B$2:B454)*1</f>
        <v>453</v>
      </c>
      <c r="B454" s="41" t="s">
        <v>1616</v>
      </c>
      <c r="C454" s="38">
        <v>45942</v>
      </c>
      <c r="D454" s="38"/>
    </row>
    <row r="455" spans="1:4" x14ac:dyDescent="0.25">
      <c r="A455" s="3">
        <f>SUBTOTAL(103,B$2:B455)*1</f>
        <v>454</v>
      </c>
      <c r="B455" s="41" t="s">
        <v>1617</v>
      </c>
      <c r="C455" s="38">
        <v>45942</v>
      </c>
      <c r="D455" s="38"/>
    </row>
    <row r="456" spans="1:4" x14ac:dyDescent="0.25">
      <c r="A456" s="3">
        <f>SUBTOTAL(103,B$2:B456)*1</f>
        <v>455</v>
      </c>
      <c r="B456" s="41" t="s">
        <v>1619</v>
      </c>
      <c r="C456" s="38">
        <v>45942</v>
      </c>
      <c r="D456" s="38"/>
    </row>
    <row r="457" spans="1:4" x14ac:dyDescent="0.25">
      <c r="A457" s="3">
        <f>SUBTOTAL(103,B$2:B457)*1</f>
        <v>456</v>
      </c>
      <c r="B457" s="41" t="s">
        <v>1621</v>
      </c>
      <c r="C457" s="38">
        <v>45942</v>
      </c>
      <c r="D457" s="38"/>
    </row>
    <row r="458" spans="1:4" x14ac:dyDescent="0.25">
      <c r="A458" s="3">
        <f>SUBTOTAL(103,B$2:B458)*1</f>
        <v>457</v>
      </c>
      <c r="B458" s="41" t="s">
        <v>1611</v>
      </c>
      <c r="C458" s="38">
        <v>45942</v>
      </c>
      <c r="D458" s="38"/>
    </row>
    <row r="459" spans="1:4" x14ac:dyDescent="0.25">
      <c r="A459" s="3">
        <f>SUBTOTAL(103,B$2:B459)*1</f>
        <v>458</v>
      </c>
      <c r="B459" s="41" t="s">
        <v>1623</v>
      </c>
      <c r="C459" s="38">
        <v>45942</v>
      </c>
      <c r="D459" s="38"/>
    </row>
    <row r="460" spans="1:4" x14ac:dyDescent="0.25">
      <c r="A460" s="3">
        <f>SUBTOTAL(103,B$2:B460)*1</f>
        <v>459</v>
      </c>
      <c r="B460" s="41" t="s">
        <v>1624</v>
      </c>
      <c r="C460" s="38">
        <v>45942</v>
      </c>
      <c r="D460" s="38"/>
    </row>
    <row r="461" spans="1:4" x14ac:dyDescent="0.25">
      <c r="A461" s="3">
        <f>SUBTOTAL(103,B$2:B461)*1</f>
        <v>460</v>
      </c>
      <c r="B461" s="41" t="s">
        <v>1625</v>
      </c>
      <c r="C461" s="38">
        <v>45942</v>
      </c>
      <c r="D461" s="51" t="s">
        <v>1631</v>
      </c>
    </row>
    <row r="462" spans="1:4" x14ac:dyDescent="0.25">
      <c r="A462" s="3">
        <f>SUBTOTAL(103,B$2:B462)*1</f>
        <v>461</v>
      </c>
      <c r="B462" s="47" t="s">
        <v>1626</v>
      </c>
      <c r="C462" s="38">
        <v>45942</v>
      </c>
      <c r="D462" s="38"/>
    </row>
    <row r="463" spans="1:4" x14ac:dyDescent="0.25">
      <c r="A463" s="3">
        <f>SUBTOTAL(103,B$2:B463)*1</f>
        <v>462</v>
      </c>
      <c r="B463" s="47" t="s">
        <v>1636</v>
      </c>
      <c r="C463" s="38">
        <v>45949</v>
      </c>
      <c r="D463" s="38"/>
    </row>
    <row r="464" spans="1:4" x14ac:dyDescent="0.25">
      <c r="A464" s="3">
        <f>SUBTOTAL(103,B$2:B464)*1</f>
        <v>463</v>
      </c>
      <c r="B464" s="47" t="s">
        <v>1637</v>
      </c>
      <c r="C464" s="38">
        <v>45949</v>
      </c>
      <c r="D464" s="38"/>
    </row>
    <row r="465" spans="1:4" x14ac:dyDescent="0.25">
      <c r="A465" s="3">
        <f>SUBTOTAL(103,B$2:B465)*1</f>
        <v>464</v>
      </c>
      <c r="B465" s="47" t="s">
        <v>1641</v>
      </c>
      <c r="C465" s="38">
        <v>45949</v>
      </c>
      <c r="D465" s="38"/>
    </row>
    <row r="466" spans="1:4" x14ac:dyDescent="0.25">
      <c r="A466" s="3">
        <f>SUBTOTAL(103,B$2:B466)*1</f>
        <v>465</v>
      </c>
      <c r="B466" s="47" t="s">
        <v>1642</v>
      </c>
      <c r="C466" s="38">
        <v>45949</v>
      </c>
      <c r="D466" s="38"/>
    </row>
    <row r="467" spans="1:4" x14ac:dyDescent="0.25">
      <c r="A467" s="3">
        <f>SUBTOTAL(103,B$2:B467)*1</f>
        <v>466</v>
      </c>
      <c r="B467" s="47" t="s">
        <v>1644</v>
      </c>
      <c r="C467" s="38">
        <v>45949</v>
      </c>
      <c r="D467" s="38"/>
    </row>
    <row r="468" spans="1:4" x14ac:dyDescent="0.25">
      <c r="A468" s="3">
        <f>SUBTOTAL(103,B$2:B468)*1</f>
        <v>467</v>
      </c>
      <c r="B468" s="47" t="s">
        <v>1646</v>
      </c>
      <c r="C468" s="38">
        <v>45949</v>
      </c>
      <c r="D468" s="38"/>
    </row>
    <row r="469" spans="1:4" x14ac:dyDescent="0.25">
      <c r="A469" s="3">
        <f>SUBTOTAL(103,B$2:B469)*1</f>
        <v>468</v>
      </c>
      <c r="B469" s="47" t="s">
        <v>1647</v>
      </c>
      <c r="C469" s="38">
        <v>45949</v>
      </c>
      <c r="D469" s="38"/>
    </row>
    <row r="470" spans="1:4" ht="28" x14ac:dyDescent="0.25">
      <c r="A470" s="3">
        <f>SUBTOTAL(103,B$2:B470)*1</f>
        <v>469</v>
      </c>
      <c r="B470" s="47" t="s">
        <v>1649</v>
      </c>
      <c r="C470" s="38">
        <v>45949</v>
      </c>
      <c r="D470" s="38"/>
    </row>
    <row r="471" spans="1:4" x14ac:dyDescent="0.25">
      <c r="A471" s="3">
        <f>SUBTOTAL(103,B$2:B471)*1</f>
        <v>470</v>
      </c>
      <c r="B471" s="48" t="s">
        <v>1635</v>
      </c>
      <c r="C471" s="38">
        <v>45949</v>
      </c>
      <c r="D471" s="38"/>
    </row>
    <row r="472" spans="1:4" x14ac:dyDescent="0.25">
      <c r="A472" s="3">
        <f>SUBTOTAL(103,B$2:B472)*1</f>
        <v>471</v>
      </c>
      <c r="B472" s="41" t="s">
        <v>1654</v>
      </c>
      <c r="C472" s="38">
        <v>45949</v>
      </c>
      <c r="D472" s="38"/>
    </row>
    <row r="473" spans="1:4" x14ac:dyDescent="0.25">
      <c r="A473" s="3">
        <f>SUBTOTAL(103,B$2:B473)*1</f>
        <v>472</v>
      </c>
      <c r="B473" s="47" t="s">
        <v>1655</v>
      </c>
      <c r="C473" s="38">
        <v>45949</v>
      </c>
      <c r="D473" s="38"/>
    </row>
    <row r="474" spans="1:4" x14ac:dyDescent="0.25">
      <c r="A474" s="3">
        <f>SUBTOTAL(103,B$2:B474)*1</f>
        <v>473</v>
      </c>
      <c r="B474" s="47" t="s">
        <v>1658</v>
      </c>
      <c r="C474" s="38">
        <v>45949</v>
      </c>
      <c r="D474" s="38"/>
    </row>
    <row r="475" spans="1:4" x14ac:dyDescent="0.25">
      <c r="A475" s="3">
        <f>SUBTOTAL(103,B$2:B475)*1</f>
        <v>474</v>
      </c>
      <c r="B475" s="47" t="s">
        <v>1661</v>
      </c>
      <c r="C475" s="38">
        <v>45949</v>
      </c>
      <c r="D475" s="38"/>
    </row>
    <row r="476" spans="1:4" x14ac:dyDescent="0.25">
      <c r="A476" s="3">
        <f>SUBTOTAL(103,B$2:B476)*1</f>
        <v>475</v>
      </c>
      <c r="B476" s="47" t="s">
        <v>1662</v>
      </c>
      <c r="C476" s="38">
        <v>45949</v>
      </c>
      <c r="D476" s="38"/>
    </row>
    <row r="477" spans="1:4" x14ac:dyDescent="0.25">
      <c r="A477" s="3">
        <f>SUBTOTAL(103,B$2:B477)*1</f>
        <v>476</v>
      </c>
      <c r="B477" s="47" t="s">
        <v>1664</v>
      </c>
      <c r="C477" s="38">
        <v>45949</v>
      </c>
      <c r="D477" s="38"/>
    </row>
    <row r="478" spans="1:4" x14ac:dyDescent="0.25">
      <c r="A478" s="3">
        <f>SUBTOTAL(103,B$2:B478)*1</f>
        <v>477</v>
      </c>
      <c r="B478" s="47" t="s">
        <v>1666</v>
      </c>
      <c r="C478" s="38">
        <v>45949</v>
      </c>
      <c r="D478" s="38"/>
    </row>
    <row r="479" spans="1:4" x14ac:dyDescent="0.25">
      <c r="A479" s="3">
        <f>SUBTOTAL(103,B$2:B479)*1</f>
        <v>478</v>
      </c>
      <c r="B479" s="47" t="s">
        <v>1667</v>
      </c>
      <c r="C479" s="38">
        <v>45949</v>
      </c>
      <c r="D479" s="38"/>
    </row>
    <row r="480" spans="1:4" x14ac:dyDescent="0.25">
      <c r="A480" s="3">
        <f>SUBTOTAL(103,B$2:B480)*1</f>
        <v>479</v>
      </c>
      <c r="B480" s="47" t="s">
        <v>1669</v>
      </c>
      <c r="C480" s="38">
        <v>45956</v>
      </c>
      <c r="D480" s="38"/>
    </row>
    <row r="481" spans="1:4" x14ac:dyDescent="0.25">
      <c r="A481" s="3">
        <f>SUBTOTAL(103,B$2:B481)*1</f>
        <v>480</v>
      </c>
      <c r="B481" s="47" t="s">
        <v>1670</v>
      </c>
      <c r="C481" s="38">
        <v>45956</v>
      </c>
      <c r="D481" s="38"/>
    </row>
    <row r="482" spans="1:4" x14ac:dyDescent="0.25">
      <c r="A482" s="3">
        <f>SUBTOTAL(103,B$2:B482)*1</f>
        <v>481</v>
      </c>
      <c r="B482" s="47" t="s">
        <v>1671</v>
      </c>
      <c r="C482" s="38">
        <v>45956</v>
      </c>
      <c r="D482" s="38"/>
    </row>
    <row r="483" spans="1:4" x14ac:dyDescent="0.25">
      <c r="A483" s="3">
        <f>SUBTOTAL(103,B$2:B483)*1</f>
        <v>482</v>
      </c>
      <c r="B483" s="47" t="s">
        <v>1672</v>
      </c>
      <c r="C483" s="38">
        <v>45956</v>
      </c>
      <c r="D483" s="38"/>
    </row>
    <row r="484" spans="1:4" x14ac:dyDescent="0.25">
      <c r="A484" s="3">
        <f>SUBTOTAL(103,B$2:B484)*1</f>
        <v>483</v>
      </c>
      <c r="B484" s="48" t="s">
        <v>1673</v>
      </c>
      <c r="C484" s="38">
        <v>45956</v>
      </c>
      <c r="D484" s="53" t="s">
        <v>1692</v>
      </c>
    </row>
    <row r="485" spans="1:4" x14ac:dyDescent="0.25">
      <c r="A485" s="3">
        <f>SUBTOTAL(103,B$2:B485)*1</f>
        <v>484</v>
      </c>
      <c r="B485" s="47" t="s">
        <v>1674</v>
      </c>
      <c r="C485" s="38">
        <v>45956</v>
      </c>
      <c r="D485" s="38"/>
    </row>
    <row r="486" spans="1:4" x14ac:dyDescent="0.25">
      <c r="A486" s="3">
        <f>SUBTOTAL(103,B$2:B486)*1</f>
        <v>485</v>
      </c>
      <c r="B486" s="47" t="s">
        <v>1675</v>
      </c>
      <c r="C486" s="38">
        <v>45956</v>
      </c>
      <c r="D486" s="38"/>
    </row>
    <row r="487" spans="1:4" x14ac:dyDescent="0.25">
      <c r="A487" s="3">
        <f>SUBTOTAL(103,B$2:B487)*1</f>
        <v>486</v>
      </c>
      <c r="B487" s="47" t="s">
        <v>1676</v>
      </c>
      <c r="C487" s="38">
        <v>45956</v>
      </c>
      <c r="D487" s="38"/>
    </row>
    <row r="488" spans="1:4" x14ac:dyDescent="0.25">
      <c r="A488" s="3">
        <f>SUBTOTAL(103,B$2:B488)*1</f>
        <v>487</v>
      </c>
      <c r="B488" s="47" t="s">
        <v>1677</v>
      </c>
      <c r="C488" s="38">
        <v>45956</v>
      </c>
      <c r="D488" s="38"/>
    </row>
    <row r="489" spans="1:4" x14ac:dyDescent="0.25">
      <c r="A489" s="3">
        <f>SUBTOTAL(103,B$2:B489)*1</f>
        <v>488</v>
      </c>
      <c r="B489" s="47" t="s">
        <v>1678</v>
      </c>
      <c r="C489" s="38">
        <v>45956</v>
      </c>
      <c r="D489" s="38"/>
    </row>
    <row r="490" spans="1:4" x14ac:dyDescent="0.25">
      <c r="A490" s="3">
        <f>SUBTOTAL(103,B$2:B490)*1</f>
        <v>489</v>
      </c>
      <c r="B490" s="47" t="s">
        <v>1679</v>
      </c>
      <c r="C490" s="38">
        <v>45956</v>
      </c>
      <c r="D490" s="38"/>
    </row>
    <row r="491" spans="1:4" x14ac:dyDescent="0.25">
      <c r="A491" s="3">
        <f>SUBTOTAL(103,B$2:B491)*1</f>
        <v>490</v>
      </c>
      <c r="B491" s="47" t="s">
        <v>1680</v>
      </c>
      <c r="C491" s="38">
        <v>45956</v>
      </c>
      <c r="D491" s="38"/>
    </row>
    <row r="492" spans="1:4" x14ac:dyDescent="0.25">
      <c r="A492" s="3">
        <f>SUBTOTAL(103,B$2:B492)*1</f>
        <v>491</v>
      </c>
      <c r="B492" s="47" t="s">
        <v>1681</v>
      </c>
      <c r="C492" s="38">
        <v>45956</v>
      </c>
      <c r="D492" s="38"/>
    </row>
    <row r="493" spans="1:4" x14ac:dyDescent="0.25">
      <c r="A493" s="3">
        <f>SUBTOTAL(103,B$2:B493)*1</f>
        <v>492</v>
      </c>
      <c r="B493" s="47" t="s">
        <v>1682</v>
      </c>
      <c r="C493" s="38">
        <v>45956</v>
      </c>
      <c r="D493" s="38"/>
    </row>
    <row r="494" spans="1:4" x14ac:dyDescent="0.25">
      <c r="A494" s="3">
        <f>SUBTOTAL(103,B$2:B494)*1</f>
        <v>493</v>
      </c>
      <c r="B494" s="47" t="s">
        <v>1683</v>
      </c>
      <c r="C494" s="38">
        <v>45956</v>
      </c>
      <c r="D494" s="38"/>
    </row>
    <row r="495" spans="1:4" ht="28" x14ac:dyDescent="0.25">
      <c r="A495" s="3">
        <f>SUBTOTAL(103,B$2:B495)*1</f>
        <v>494</v>
      </c>
      <c r="B495" s="47" t="s">
        <v>1684</v>
      </c>
      <c r="C495" s="38">
        <v>45956</v>
      </c>
      <c r="D495" s="38"/>
    </row>
    <row r="496" spans="1:4" x14ac:dyDescent="0.25">
      <c r="A496" s="3">
        <f>SUBTOTAL(103,B$2:B496)*1</f>
        <v>495</v>
      </c>
      <c r="B496" s="47" t="s">
        <v>1685</v>
      </c>
      <c r="C496" s="38">
        <v>45956</v>
      </c>
      <c r="D496" s="38"/>
    </row>
    <row r="497" spans="1:4" ht="28" x14ac:dyDescent="0.25">
      <c r="A497" s="3">
        <f>SUBTOTAL(103,B$2:B497)*1</f>
        <v>496</v>
      </c>
      <c r="B497" s="47" t="s">
        <v>1686</v>
      </c>
      <c r="C497" s="38">
        <v>45956</v>
      </c>
      <c r="D497" s="38"/>
    </row>
    <row r="498" spans="1:4" x14ac:dyDescent="0.25">
      <c r="A498" s="3">
        <f>SUBTOTAL(103,B$2:B498)*1</f>
        <v>497</v>
      </c>
      <c r="B498" s="47" t="s">
        <v>1687</v>
      </c>
      <c r="C498" s="38">
        <v>45956</v>
      </c>
      <c r="D498" s="38"/>
    </row>
    <row r="499" spans="1:4" x14ac:dyDescent="0.25">
      <c r="A499" s="3">
        <f>SUBTOTAL(103,B$2:B499)*1</f>
        <v>498</v>
      </c>
      <c r="B499" s="47" t="s">
        <v>1688</v>
      </c>
      <c r="C499" s="38">
        <v>45956</v>
      </c>
      <c r="D499" s="38"/>
    </row>
    <row r="500" spans="1:4" x14ac:dyDescent="0.25">
      <c r="A500" s="3">
        <f>SUBTOTAL(103,B$2:B500)*1</f>
        <v>499</v>
      </c>
      <c r="B500" s="47" t="s">
        <v>1689</v>
      </c>
      <c r="C500" s="38">
        <v>45956</v>
      </c>
      <c r="D500" s="38"/>
    </row>
    <row r="501" spans="1:4" x14ac:dyDescent="0.25">
      <c r="A501" s="3">
        <f>SUBTOTAL(103,B$2:B501)*1</f>
        <v>500</v>
      </c>
      <c r="B501" s="47" t="s">
        <v>1706</v>
      </c>
      <c r="C501" s="38">
        <v>45963</v>
      </c>
      <c r="D501" s="38"/>
    </row>
    <row r="502" spans="1:4" x14ac:dyDescent="0.25">
      <c r="A502" s="3">
        <f>SUBTOTAL(103,B$2:B502)*1</f>
        <v>501</v>
      </c>
      <c r="B502" s="47" t="s">
        <v>1711</v>
      </c>
      <c r="C502" s="38">
        <v>45963</v>
      </c>
      <c r="D502" s="38"/>
    </row>
    <row r="503" spans="1:4" x14ac:dyDescent="0.25">
      <c r="A503" s="3">
        <f>SUBTOTAL(103,B$2:B503)*1</f>
        <v>502</v>
      </c>
      <c r="B503" s="47" t="s">
        <v>1714</v>
      </c>
      <c r="C503" s="38">
        <v>45963</v>
      </c>
      <c r="D503" s="38"/>
    </row>
    <row r="504" spans="1:4" x14ac:dyDescent="0.25">
      <c r="A504" s="3">
        <f>SUBTOTAL(103,B$2:B504)*1</f>
        <v>503</v>
      </c>
      <c r="B504" s="47" t="s">
        <v>1715</v>
      </c>
      <c r="C504" s="38">
        <v>45963</v>
      </c>
      <c r="D504" s="38"/>
    </row>
    <row r="505" spans="1:4" x14ac:dyDescent="0.25">
      <c r="A505" s="3">
        <f>SUBTOTAL(103,B$2:B505)*1</f>
        <v>504</v>
      </c>
      <c r="B505" s="47" t="s">
        <v>1716</v>
      </c>
      <c r="C505" s="38">
        <v>45963</v>
      </c>
      <c r="D505" s="38"/>
    </row>
    <row r="506" spans="1:4" x14ac:dyDescent="0.25">
      <c r="A506" s="3">
        <f>SUBTOTAL(103,B$2:B506)*1</f>
        <v>505</v>
      </c>
      <c r="B506" s="47" t="s">
        <v>1705</v>
      </c>
      <c r="C506" s="38">
        <v>45963</v>
      </c>
      <c r="D506" s="38"/>
    </row>
    <row r="507" spans="1:4" x14ac:dyDescent="0.25">
      <c r="A507" s="3">
        <f>SUBTOTAL(103,B$2:B507)*1</f>
        <v>506</v>
      </c>
      <c r="B507" s="47" t="s">
        <v>1719</v>
      </c>
      <c r="C507" s="38">
        <v>45963</v>
      </c>
      <c r="D507" s="38"/>
    </row>
    <row r="508" spans="1:4" x14ac:dyDescent="0.25">
      <c r="A508" s="3">
        <f>SUBTOTAL(103,B$2:B508)*1</f>
        <v>507</v>
      </c>
      <c r="B508" s="47" t="s">
        <v>1721</v>
      </c>
      <c r="C508" s="38">
        <v>45963</v>
      </c>
      <c r="D508" s="38"/>
    </row>
    <row r="509" spans="1:4" x14ac:dyDescent="0.25">
      <c r="A509" s="3">
        <f>SUBTOTAL(103,B$2:B509)*1</f>
        <v>508</v>
      </c>
      <c r="B509" s="47" t="s">
        <v>1722</v>
      </c>
      <c r="C509" s="38">
        <v>45963</v>
      </c>
      <c r="D509" s="38"/>
    </row>
    <row r="510" spans="1:4" x14ac:dyDescent="0.25">
      <c r="A510" s="3">
        <f>SUBTOTAL(103,B$2:B510)*1</f>
        <v>509</v>
      </c>
      <c r="B510" s="47" t="s">
        <v>1723</v>
      </c>
      <c r="C510" s="38">
        <v>45963</v>
      </c>
      <c r="D510" s="38"/>
    </row>
    <row r="511" spans="1:4" x14ac:dyDescent="0.25">
      <c r="A511" s="3">
        <f>SUBTOTAL(103,B$2:B511)*1</f>
        <v>510</v>
      </c>
      <c r="B511" s="47" t="s">
        <v>1724</v>
      </c>
      <c r="C511" s="38">
        <v>45963</v>
      </c>
      <c r="D511" s="38"/>
    </row>
    <row r="512" spans="1:4" x14ac:dyDescent="0.25">
      <c r="A512" s="3">
        <f>SUBTOTAL(103,B$2:B512)*1</f>
        <v>511</v>
      </c>
      <c r="B512" s="47" t="s">
        <v>1725</v>
      </c>
      <c r="C512" s="38">
        <v>45963</v>
      </c>
      <c r="D512" s="38"/>
    </row>
    <row r="513" spans="1:4" x14ac:dyDescent="0.25">
      <c r="A513" s="3">
        <f>SUBTOTAL(103,B$2:B513)*1</f>
        <v>512</v>
      </c>
      <c r="B513" s="47" t="s">
        <v>1726</v>
      </c>
      <c r="C513" s="38">
        <v>45963</v>
      </c>
      <c r="D513" s="38"/>
    </row>
    <row r="514" spans="1:4" x14ac:dyDescent="0.25">
      <c r="A514" s="3">
        <f>SUBTOTAL(103,B$2:B514)*1</f>
        <v>513</v>
      </c>
      <c r="B514" s="47" t="s">
        <v>1728</v>
      </c>
      <c r="C514" s="38">
        <v>45963</v>
      </c>
      <c r="D514" s="38"/>
    </row>
    <row r="515" spans="1:4" x14ac:dyDescent="0.25">
      <c r="A515" s="3">
        <f>SUBTOTAL(103,B$2:B515)*1</f>
        <v>514</v>
      </c>
      <c r="B515" s="47" t="s">
        <v>1729</v>
      </c>
      <c r="C515" s="38">
        <v>45963</v>
      </c>
      <c r="D515" s="38"/>
    </row>
    <row r="516" spans="1:4" x14ac:dyDescent="0.25">
      <c r="A516" s="3">
        <f>SUBTOTAL(103,B$2:B516)*1</f>
        <v>515</v>
      </c>
      <c r="B516" s="47" t="s">
        <v>1731</v>
      </c>
      <c r="C516" s="38">
        <v>45963</v>
      </c>
      <c r="D516" s="38"/>
    </row>
    <row r="517" spans="1:4" x14ac:dyDescent="0.25">
      <c r="A517" s="3">
        <f>SUBTOTAL(103,B$2:B517)*1</f>
        <v>516</v>
      </c>
      <c r="B517" s="47" t="s">
        <v>1732</v>
      </c>
      <c r="C517" s="38">
        <v>45963</v>
      </c>
      <c r="D517" s="38"/>
    </row>
    <row r="518" spans="1:4" x14ac:dyDescent="0.25">
      <c r="A518" s="3">
        <f>SUBTOTAL(103,B$2:B518)*1</f>
        <v>517</v>
      </c>
      <c r="B518" s="47" t="s">
        <v>1733</v>
      </c>
      <c r="C518" s="38">
        <v>45963</v>
      </c>
      <c r="D518" s="38"/>
    </row>
    <row r="519" spans="1:4" x14ac:dyDescent="0.25">
      <c r="A519" s="3">
        <f>SUBTOTAL(103,B$2:B519)*1</f>
        <v>518</v>
      </c>
      <c r="B519" s="41" t="s">
        <v>1734</v>
      </c>
      <c r="C519" s="38">
        <v>45963</v>
      </c>
      <c r="D519" s="53"/>
    </row>
    <row r="520" spans="1:4" x14ac:dyDescent="0.25">
      <c r="A520" s="3">
        <f>SUBTOTAL(103,B$2:B520)*1</f>
        <v>519</v>
      </c>
      <c r="B520" s="47" t="s">
        <v>1735</v>
      </c>
      <c r="C520" s="38">
        <v>45963</v>
      </c>
      <c r="D520" s="38"/>
    </row>
    <row r="521" spans="1:4" x14ac:dyDescent="0.25">
      <c r="A521" s="3">
        <f>SUBTOTAL(103,B$2:B521)*1</f>
        <v>520</v>
      </c>
      <c r="B521" s="47" t="s">
        <v>1736</v>
      </c>
      <c r="C521" s="38">
        <v>45963</v>
      </c>
      <c r="D521" s="38"/>
    </row>
    <row r="522" spans="1:4" x14ac:dyDescent="0.25">
      <c r="A522" s="3">
        <f>SUBTOTAL(103,B$2:B522)*1</f>
        <v>521</v>
      </c>
      <c r="B522" s="47" t="s">
        <v>1755</v>
      </c>
      <c r="C522" s="38">
        <v>45970</v>
      </c>
      <c r="D522" s="38"/>
    </row>
    <row r="523" spans="1:4" x14ac:dyDescent="0.25">
      <c r="A523" s="3">
        <f>SUBTOTAL(103,B$2:B523)*1</f>
        <v>522</v>
      </c>
      <c r="B523" s="47" t="s">
        <v>1756</v>
      </c>
      <c r="C523" s="38">
        <v>45970</v>
      </c>
      <c r="D523" s="38"/>
    </row>
    <row r="524" spans="1:4" x14ac:dyDescent="0.25">
      <c r="A524" s="3">
        <f>SUBTOTAL(103,B$2:B524)*1</f>
        <v>523</v>
      </c>
      <c r="B524" s="47" t="s">
        <v>1759</v>
      </c>
      <c r="C524" s="38">
        <v>45970</v>
      </c>
      <c r="D524" s="38"/>
    </row>
    <row r="525" spans="1:4" x14ac:dyDescent="0.25">
      <c r="A525" s="3">
        <f>SUBTOTAL(103,B$2:B525)*1</f>
        <v>524</v>
      </c>
      <c r="B525" s="47" t="s">
        <v>1760</v>
      </c>
      <c r="C525" s="38">
        <v>45970</v>
      </c>
      <c r="D525" s="38"/>
    </row>
    <row r="526" spans="1:4" x14ac:dyDescent="0.25">
      <c r="A526" s="3">
        <f>SUBTOTAL(103,B$2:B526)*1</f>
        <v>525</v>
      </c>
      <c r="B526" s="47" t="s">
        <v>1762</v>
      </c>
      <c r="C526" s="38">
        <v>45970</v>
      </c>
      <c r="D526" s="38"/>
    </row>
    <row r="527" spans="1:4" x14ac:dyDescent="0.25">
      <c r="A527" s="3">
        <f>SUBTOTAL(103,B$2:B527)*1</f>
        <v>526</v>
      </c>
      <c r="B527" s="47" t="s">
        <v>1763</v>
      </c>
      <c r="C527" s="38">
        <v>45970</v>
      </c>
      <c r="D527" s="38"/>
    </row>
    <row r="528" spans="1:4" x14ac:dyDescent="0.25">
      <c r="A528" s="3">
        <f>SUBTOTAL(103,B$2:B528)*1</f>
        <v>527</v>
      </c>
      <c r="B528" s="47" t="s">
        <v>1765</v>
      </c>
      <c r="C528" s="38">
        <v>45970</v>
      </c>
      <c r="D528" s="38"/>
    </row>
    <row r="529" spans="1:4" x14ac:dyDescent="0.25">
      <c r="A529" s="3">
        <f>SUBTOTAL(103,B$2:B529)*1</f>
        <v>528</v>
      </c>
      <c r="B529" s="47" t="s">
        <v>1769</v>
      </c>
      <c r="C529" s="38">
        <v>45970</v>
      </c>
      <c r="D529" s="38"/>
    </row>
    <row r="530" spans="1:4" x14ac:dyDescent="0.25">
      <c r="A530" s="3">
        <f>SUBTOTAL(103,B$2:B530)*1</f>
        <v>529</v>
      </c>
      <c r="B530" s="47" t="s">
        <v>1773</v>
      </c>
      <c r="C530" s="38">
        <v>45970</v>
      </c>
      <c r="D530" s="38"/>
    </row>
    <row r="531" spans="1:4" x14ac:dyDescent="0.25">
      <c r="A531" s="3">
        <f>SUBTOTAL(103,B$2:B531)*1</f>
        <v>530</v>
      </c>
      <c r="B531" s="47" t="s">
        <v>1774</v>
      </c>
      <c r="C531" s="38">
        <v>45970</v>
      </c>
      <c r="D531" s="38"/>
    </row>
    <row r="532" spans="1:4" x14ac:dyDescent="0.25">
      <c r="A532" s="3">
        <f>SUBTOTAL(103,B$2:B532)*1</f>
        <v>531</v>
      </c>
      <c r="B532" s="47" t="s">
        <v>1777</v>
      </c>
      <c r="C532" s="38">
        <v>45970</v>
      </c>
      <c r="D532" s="38"/>
    </row>
    <row r="533" spans="1:4" x14ac:dyDescent="0.25">
      <c r="A533" s="3">
        <f>SUBTOTAL(103,B$2:B533)*1</f>
        <v>532</v>
      </c>
      <c r="B533" s="47" t="s">
        <v>1780</v>
      </c>
      <c r="C533" s="38">
        <v>45970</v>
      </c>
      <c r="D533" s="38"/>
    </row>
    <row r="534" spans="1:4" x14ac:dyDescent="0.25">
      <c r="A534" s="3">
        <f>SUBTOTAL(103,B$2:B534)*1</f>
        <v>533</v>
      </c>
      <c r="B534" s="47" t="s">
        <v>1781</v>
      </c>
      <c r="C534" s="38">
        <v>45970</v>
      </c>
      <c r="D534" s="38"/>
    </row>
    <row r="535" spans="1:4" x14ac:dyDescent="0.25">
      <c r="A535" s="3">
        <f>SUBTOTAL(103,B$2:B535)*1</f>
        <v>534</v>
      </c>
      <c r="B535" s="47" t="s">
        <v>1782</v>
      </c>
      <c r="C535" s="38">
        <v>45970</v>
      </c>
      <c r="D535" s="38"/>
    </row>
    <row r="536" spans="1:4" x14ac:dyDescent="0.25">
      <c r="A536" s="3">
        <f>SUBTOTAL(103,B$2:B536)*1</f>
        <v>535</v>
      </c>
      <c r="B536" s="47" t="s">
        <v>1783</v>
      </c>
      <c r="C536" s="38">
        <v>45970</v>
      </c>
      <c r="D536" s="38"/>
    </row>
    <row r="537" spans="1:4" x14ac:dyDescent="0.25">
      <c r="A537" s="3">
        <f>SUBTOTAL(103,B$2:B537)*1</f>
        <v>536</v>
      </c>
      <c r="B537" s="47" t="s">
        <v>1785</v>
      </c>
      <c r="C537" s="38">
        <v>45970</v>
      </c>
      <c r="D537" s="38"/>
    </row>
    <row r="538" spans="1:4" x14ac:dyDescent="0.25">
      <c r="A538" s="3">
        <f>SUBTOTAL(103,B$2:B538)*1</f>
        <v>537</v>
      </c>
      <c r="B538" s="47" t="s">
        <v>1786</v>
      </c>
      <c r="C538" s="38">
        <v>45970</v>
      </c>
      <c r="D538" s="38"/>
    </row>
    <row r="539" spans="1:4" x14ac:dyDescent="0.25">
      <c r="A539" s="3">
        <f>SUBTOTAL(103,B$2:B539)*1</f>
        <v>538</v>
      </c>
      <c r="B539" s="47" t="s">
        <v>1817</v>
      </c>
      <c r="C539" s="38">
        <v>45970</v>
      </c>
      <c r="D539" s="38"/>
    </row>
    <row r="540" spans="1:4" x14ac:dyDescent="0.25">
      <c r="A540" s="3">
        <f>SUBTOTAL(103,B$2:B540)*1</f>
        <v>539</v>
      </c>
      <c r="B540" s="47" t="s">
        <v>1788</v>
      </c>
      <c r="C540" s="38">
        <v>45970</v>
      </c>
      <c r="D540" s="38"/>
    </row>
    <row r="541" spans="1:4" x14ac:dyDescent="0.25">
      <c r="A541" s="3">
        <f>SUBTOTAL(103,B$2:B541)*1</f>
        <v>540</v>
      </c>
      <c r="B541" s="47" t="s">
        <v>1753</v>
      </c>
      <c r="C541" s="38">
        <v>45970</v>
      </c>
      <c r="D541" s="53" t="s">
        <v>1790</v>
      </c>
    </row>
    <row r="542" spans="1:4" x14ac:dyDescent="0.25">
      <c r="A542" s="3">
        <f>SUBTOTAL(103,B$2:B542)*1</f>
        <v>541</v>
      </c>
      <c r="B542" s="47" t="s">
        <v>1791</v>
      </c>
      <c r="C542" s="38">
        <v>45970</v>
      </c>
      <c r="D542" s="38"/>
    </row>
    <row r="543" spans="1:4" x14ac:dyDescent="0.25">
      <c r="A543" s="3">
        <f>SUBTOTAL(103,B$2:B543)*1</f>
        <v>542</v>
      </c>
      <c r="B543" s="47" t="s">
        <v>1792</v>
      </c>
      <c r="C543" s="38">
        <v>45970</v>
      </c>
      <c r="D543" s="38"/>
    </row>
    <row r="544" spans="1:4" x14ac:dyDescent="0.25">
      <c r="A544" s="3">
        <f>SUBTOTAL(103,B$2:B544)*1</f>
        <v>543</v>
      </c>
      <c r="B544" s="47" t="s">
        <v>1794</v>
      </c>
      <c r="C544" s="38">
        <v>45970</v>
      </c>
      <c r="D544" s="38"/>
    </row>
    <row r="545" spans="1:4" x14ac:dyDescent="0.25">
      <c r="A545" s="3">
        <f>SUBTOTAL(103,B$2:B545)*1</f>
        <v>544</v>
      </c>
      <c r="B545" s="47" t="s">
        <v>1795</v>
      </c>
      <c r="C545" s="38">
        <v>45970</v>
      </c>
      <c r="D545" s="38"/>
    </row>
    <row r="546" spans="1:4" x14ac:dyDescent="0.25">
      <c r="A546" s="3">
        <f>SUBTOTAL(103,B$2:B546)*1</f>
        <v>545</v>
      </c>
      <c r="B546" s="47" t="s">
        <v>1796</v>
      </c>
      <c r="C546" s="38">
        <v>45970</v>
      </c>
      <c r="D546" s="38"/>
    </row>
    <row r="547" spans="1:4" x14ac:dyDescent="0.25">
      <c r="A547" s="3">
        <f>SUBTOTAL(103,B$2:B547)*1</f>
        <v>546</v>
      </c>
      <c r="B547" s="47" t="s">
        <v>1798</v>
      </c>
      <c r="C547" s="38">
        <v>45970</v>
      </c>
      <c r="D547" s="38"/>
    </row>
    <row r="548" spans="1:4" x14ac:dyDescent="0.25">
      <c r="A548" s="3">
        <f>SUBTOTAL(103,B$2:B548)*1</f>
        <v>547</v>
      </c>
      <c r="B548" s="47" t="s">
        <v>1799</v>
      </c>
      <c r="C548" s="38">
        <v>45970</v>
      </c>
      <c r="D548" s="38"/>
    </row>
    <row r="549" spans="1:4" x14ac:dyDescent="0.25">
      <c r="A549" s="3">
        <f>SUBTOTAL(103,B$2:B549)*1</f>
        <v>548</v>
      </c>
      <c r="B549" s="47" t="s">
        <v>1800</v>
      </c>
      <c r="C549" s="38">
        <v>45970</v>
      </c>
      <c r="D549" s="38"/>
    </row>
    <row r="550" spans="1:4" x14ac:dyDescent="0.25">
      <c r="A550" s="3">
        <f>SUBTOTAL(103,B$2:B550)*1</f>
        <v>549</v>
      </c>
      <c r="B550" s="47" t="s">
        <v>1802</v>
      </c>
      <c r="C550" s="38">
        <v>45970</v>
      </c>
      <c r="D550" s="38"/>
    </row>
    <row r="551" spans="1:4" x14ac:dyDescent="0.25">
      <c r="A551" s="3">
        <f>SUBTOTAL(103,B$2:B551)*1</f>
        <v>550</v>
      </c>
      <c r="B551" s="47" t="s">
        <v>1803</v>
      </c>
      <c r="C551" s="38">
        <v>45970</v>
      </c>
      <c r="D551" s="38"/>
    </row>
    <row r="552" spans="1:4" x14ac:dyDescent="0.25">
      <c r="A552" s="3">
        <f>SUBTOTAL(103,B$2:B552)*1</f>
        <v>551</v>
      </c>
      <c r="B552" s="47" t="s">
        <v>1804</v>
      </c>
      <c r="C552" s="38">
        <v>45970</v>
      </c>
      <c r="D552" s="38"/>
    </row>
    <row r="553" spans="1:4" x14ac:dyDescent="0.25">
      <c r="A553" s="3">
        <f>SUBTOTAL(103,B$2:B553)*1</f>
        <v>552</v>
      </c>
      <c r="B553" s="47" t="s">
        <v>1805</v>
      </c>
      <c r="C553" s="38">
        <v>45970</v>
      </c>
      <c r="D553" s="38"/>
    </row>
    <row r="554" spans="1:4" x14ac:dyDescent="0.25">
      <c r="A554" s="3">
        <f>SUBTOTAL(103,B$2:B554)*1</f>
        <v>553</v>
      </c>
      <c r="B554" s="47" t="s">
        <v>1754</v>
      </c>
      <c r="C554" s="38">
        <v>45970</v>
      </c>
      <c r="D554" s="53" t="s">
        <v>1790</v>
      </c>
    </row>
    <row r="555" spans="1:4" x14ac:dyDescent="0.25">
      <c r="A555" s="3">
        <f>SUBTOTAL(103,B$2:B555)*1</f>
        <v>554</v>
      </c>
      <c r="B555" s="47" t="s">
        <v>1821</v>
      </c>
      <c r="C555" s="38">
        <v>45977</v>
      </c>
      <c r="D555" s="38"/>
    </row>
    <row r="556" spans="1:4" x14ac:dyDescent="0.25">
      <c r="A556" s="3">
        <f>SUBTOTAL(103,B$2:B556)*1</f>
        <v>555</v>
      </c>
      <c r="B556" s="47" t="s">
        <v>1822</v>
      </c>
      <c r="C556" s="38">
        <v>45977</v>
      </c>
      <c r="D556" s="38"/>
    </row>
    <row r="557" spans="1:4" x14ac:dyDescent="0.25">
      <c r="A557" s="3">
        <f>SUBTOTAL(103,B$2:B557)*1</f>
        <v>556</v>
      </c>
      <c r="B557" s="47" t="s">
        <v>1829</v>
      </c>
      <c r="C557" s="38">
        <v>45977</v>
      </c>
      <c r="D557" s="38"/>
    </row>
    <row r="558" spans="1:4" x14ac:dyDescent="0.25">
      <c r="A558" s="3">
        <f>SUBTOTAL(103,B$2:B558)*1</f>
        <v>557</v>
      </c>
      <c r="B558" s="47" t="s">
        <v>1831</v>
      </c>
      <c r="C558" s="38">
        <v>45977</v>
      </c>
      <c r="D558" s="38"/>
    </row>
    <row r="559" spans="1:4" x14ac:dyDescent="0.25">
      <c r="A559" s="3">
        <f>SUBTOTAL(103,B$2:B559)*1</f>
        <v>558</v>
      </c>
      <c r="B559" s="47" t="s">
        <v>1832</v>
      </c>
      <c r="C559" s="38">
        <v>45977</v>
      </c>
      <c r="D559" s="38"/>
    </row>
    <row r="560" spans="1:4" x14ac:dyDescent="0.25">
      <c r="A560" s="3">
        <f>SUBTOTAL(103,B$2:B560)*1</f>
        <v>559</v>
      </c>
      <c r="B560" s="47" t="s">
        <v>1835</v>
      </c>
      <c r="C560" s="38">
        <v>45977</v>
      </c>
      <c r="D560" s="38"/>
    </row>
    <row r="561" spans="1:4" x14ac:dyDescent="0.25">
      <c r="A561" s="3">
        <f>SUBTOTAL(103,B$2:B561)*1</f>
        <v>560</v>
      </c>
      <c r="B561" s="47" t="s">
        <v>1836</v>
      </c>
      <c r="C561" s="38">
        <v>45977</v>
      </c>
      <c r="D561" s="38"/>
    </row>
    <row r="562" spans="1:4" x14ac:dyDescent="0.25">
      <c r="A562" s="3">
        <f>SUBTOTAL(103,B$2:B562)*1</f>
        <v>561</v>
      </c>
      <c r="B562" s="47" t="s">
        <v>1837</v>
      </c>
      <c r="C562" s="38">
        <v>45977</v>
      </c>
      <c r="D562" s="38"/>
    </row>
    <row r="563" spans="1:4" x14ac:dyDescent="0.25">
      <c r="A563" s="3">
        <f>SUBTOTAL(103,B$2:B563)*1</f>
        <v>562</v>
      </c>
      <c r="B563" s="47" t="s">
        <v>1838</v>
      </c>
      <c r="C563" s="38">
        <v>45977</v>
      </c>
      <c r="D563" s="38"/>
    </row>
    <row r="564" spans="1:4" x14ac:dyDescent="0.25">
      <c r="A564" s="3">
        <f>SUBTOTAL(103,B$2:B564)*1</f>
        <v>563</v>
      </c>
      <c r="B564" s="47" t="s">
        <v>1839</v>
      </c>
      <c r="C564" s="38">
        <v>45977</v>
      </c>
      <c r="D564" s="38"/>
    </row>
    <row r="565" spans="1:4" x14ac:dyDescent="0.25">
      <c r="A565" s="3">
        <f>SUBTOTAL(103,B$2:B565)*1</f>
        <v>564</v>
      </c>
      <c r="B565" s="47" t="s">
        <v>1844</v>
      </c>
      <c r="C565" s="38">
        <v>45977</v>
      </c>
      <c r="D565" s="38"/>
    </row>
    <row r="566" spans="1:4" x14ac:dyDescent="0.25">
      <c r="A566" s="3">
        <f>SUBTOTAL(103,B$2:B566)*1</f>
        <v>565</v>
      </c>
      <c r="B566" s="47" t="s">
        <v>1819</v>
      </c>
      <c r="C566" s="38">
        <v>45977</v>
      </c>
      <c r="D566" s="53" t="s">
        <v>1790</v>
      </c>
    </row>
    <row r="567" spans="1:4" x14ac:dyDescent="0.25">
      <c r="A567" s="3">
        <f>SUBTOTAL(103,B$2:B567)*1</f>
        <v>566</v>
      </c>
      <c r="B567" s="47" t="s">
        <v>1850</v>
      </c>
      <c r="C567" s="38">
        <v>45977</v>
      </c>
      <c r="D567" s="38"/>
    </row>
    <row r="568" spans="1:4" x14ac:dyDescent="0.25">
      <c r="A568" s="3">
        <f>SUBTOTAL(103,B$2:B568)*1</f>
        <v>567</v>
      </c>
      <c r="B568" s="47" t="s">
        <v>1855</v>
      </c>
      <c r="C568" s="38">
        <v>45977</v>
      </c>
      <c r="D568" s="38"/>
    </row>
    <row r="569" spans="1:4" x14ac:dyDescent="0.25">
      <c r="A569" s="3">
        <f>SUBTOTAL(103,B$2:B569)*1</f>
        <v>568</v>
      </c>
      <c r="B569" s="47" t="s">
        <v>1856</v>
      </c>
      <c r="C569" s="38">
        <v>45977</v>
      </c>
      <c r="D569" s="38"/>
    </row>
    <row r="570" spans="1:4" x14ac:dyDescent="0.25">
      <c r="A570" s="3">
        <f>SUBTOTAL(103,B$2:B570)*1</f>
        <v>569</v>
      </c>
      <c r="B570" s="47" t="s">
        <v>1820</v>
      </c>
      <c r="C570" s="38">
        <v>45977</v>
      </c>
      <c r="D570" s="38"/>
    </row>
    <row r="571" spans="1:4" x14ac:dyDescent="0.25">
      <c r="A571" s="3">
        <f>SUBTOTAL(103,B$2:B571)*1</f>
        <v>570</v>
      </c>
      <c r="B571" s="47" t="s">
        <v>1859</v>
      </c>
      <c r="C571" s="38">
        <v>45977</v>
      </c>
      <c r="D571" s="38"/>
    </row>
    <row r="572" spans="1:4" x14ac:dyDescent="0.25">
      <c r="A572" s="3">
        <f>SUBTOTAL(103,B$2:B572)*1</f>
        <v>571</v>
      </c>
      <c r="B572" s="47" t="s">
        <v>1860</v>
      </c>
      <c r="C572" s="38">
        <v>45977</v>
      </c>
      <c r="D572" s="38"/>
    </row>
    <row r="573" spans="1:4" ht="28" x14ac:dyDescent="0.25">
      <c r="A573" s="3">
        <f>SUBTOTAL(103,B$2:B573)*1</f>
        <v>572</v>
      </c>
      <c r="B573" s="47" t="s">
        <v>1862</v>
      </c>
      <c r="C573" s="38">
        <v>45977</v>
      </c>
      <c r="D573" s="38"/>
    </row>
    <row r="574" spans="1:4" x14ac:dyDescent="0.25">
      <c r="A574" s="3">
        <f>SUBTOTAL(103,B$2:B574)*1</f>
        <v>573</v>
      </c>
      <c r="B574" s="47" t="s">
        <v>1866</v>
      </c>
      <c r="C574" s="38">
        <v>45977</v>
      </c>
      <c r="D574" s="38"/>
    </row>
    <row r="575" spans="1:4" x14ac:dyDescent="0.25">
      <c r="A575" s="3">
        <f>SUBTOTAL(103,B$2:B575)*1</f>
        <v>574</v>
      </c>
      <c r="B575" s="47" t="s">
        <v>1869</v>
      </c>
      <c r="C575" s="38">
        <v>45977</v>
      </c>
      <c r="D575" s="38"/>
    </row>
    <row r="576" spans="1:4" x14ac:dyDescent="0.25">
      <c r="A576" s="3">
        <f>SUBTOTAL(103,B$2:B576)*1</f>
        <v>575</v>
      </c>
      <c r="B576" s="47" t="s">
        <v>1870</v>
      </c>
      <c r="C576" s="38">
        <v>45977</v>
      </c>
      <c r="D576" s="38"/>
    </row>
    <row r="577" spans="1:4" x14ac:dyDescent="0.25">
      <c r="A577" s="3">
        <f>SUBTOTAL(103,B$2:B577)*1</f>
        <v>576</v>
      </c>
      <c r="B577" s="47" t="s">
        <v>1871</v>
      </c>
      <c r="C577" s="38">
        <v>45977</v>
      </c>
      <c r="D577" s="38"/>
    </row>
    <row r="578" spans="1:4" x14ac:dyDescent="0.25">
      <c r="A578" s="3">
        <f>SUBTOTAL(103,B$2:B578)*1</f>
        <v>577</v>
      </c>
      <c r="B578" s="47" t="s">
        <v>1872</v>
      </c>
      <c r="C578" s="38">
        <v>45977</v>
      </c>
      <c r="D578" s="38"/>
    </row>
    <row r="579" spans="1:4" x14ac:dyDescent="0.25">
      <c r="A579" s="3">
        <f>SUBTOTAL(103,B$2:B579)*1</f>
        <v>578</v>
      </c>
      <c r="B579" s="47" t="s">
        <v>1873</v>
      </c>
      <c r="C579" s="38">
        <v>45977</v>
      </c>
      <c r="D579" s="38"/>
    </row>
    <row r="580" spans="1:4" x14ac:dyDescent="0.25">
      <c r="A580" s="3">
        <f>SUBTOTAL(103,B$2:B580)*1</f>
        <v>579</v>
      </c>
      <c r="B580" s="47" t="s">
        <v>1876</v>
      </c>
      <c r="C580" s="38">
        <v>45977</v>
      </c>
      <c r="D580" s="38"/>
    </row>
    <row r="581" spans="1:4" x14ac:dyDescent="0.25">
      <c r="A581" s="3">
        <f>SUBTOTAL(103,B$2:B581)*1</f>
        <v>580</v>
      </c>
      <c r="B581" s="47" t="s">
        <v>1879</v>
      </c>
      <c r="C581" s="38">
        <v>45984</v>
      </c>
      <c r="D581" s="38"/>
    </row>
    <row r="582" spans="1:4" x14ac:dyDescent="0.25">
      <c r="A582" s="3">
        <f>SUBTOTAL(103,B$2:B582)*1</f>
        <v>581</v>
      </c>
      <c r="B582" s="47" t="s">
        <v>1888</v>
      </c>
      <c r="C582" s="38">
        <v>45984</v>
      </c>
      <c r="D582" s="38"/>
    </row>
    <row r="583" spans="1:4" x14ac:dyDescent="0.25">
      <c r="A583" s="3">
        <f>SUBTOTAL(103,B$2:B583)*1</f>
        <v>582</v>
      </c>
      <c r="B583" s="47" t="s">
        <v>1891</v>
      </c>
      <c r="C583" s="38">
        <v>45984</v>
      </c>
      <c r="D583" s="38"/>
    </row>
    <row r="584" spans="1:4" x14ac:dyDescent="0.25">
      <c r="A584" s="3">
        <f>SUBTOTAL(103,B$2:B584)*1</f>
        <v>583</v>
      </c>
      <c r="B584" s="47" t="s">
        <v>1892</v>
      </c>
      <c r="C584" s="38">
        <v>45984</v>
      </c>
      <c r="D584" s="38"/>
    </row>
    <row r="585" spans="1:4" x14ac:dyDescent="0.25">
      <c r="A585" s="3">
        <f>SUBTOTAL(103,B$2:B585)*1</f>
        <v>584</v>
      </c>
      <c r="B585" s="47" t="s">
        <v>1893</v>
      </c>
      <c r="C585" s="38">
        <v>45984</v>
      </c>
      <c r="D585" s="38"/>
    </row>
    <row r="586" spans="1:4" x14ac:dyDescent="0.25">
      <c r="A586" s="3">
        <f>SUBTOTAL(103,B$2:B586)*1</f>
        <v>585</v>
      </c>
      <c r="B586" s="47" t="s">
        <v>1895</v>
      </c>
      <c r="C586" s="38">
        <v>45984</v>
      </c>
      <c r="D586" s="38"/>
    </row>
    <row r="587" spans="1:4" x14ac:dyDescent="0.25">
      <c r="A587" s="3">
        <f>SUBTOTAL(103,B$2:B587)*1</f>
        <v>586</v>
      </c>
      <c r="B587" s="47" t="s">
        <v>1896</v>
      </c>
      <c r="C587" s="38">
        <v>45984</v>
      </c>
      <c r="D587" s="38"/>
    </row>
    <row r="588" spans="1:4" x14ac:dyDescent="0.25">
      <c r="A588" s="3">
        <f>SUBTOTAL(103,B$2:B588)*1</f>
        <v>587</v>
      </c>
      <c r="B588" s="47" t="s">
        <v>1897</v>
      </c>
      <c r="C588" s="38">
        <v>45984</v>
      </c>
      <c r="D588" s="38"/>
    </row>
    <row r="589" spans="1:4" x14ac:dyDescent="0.25">
      <c r="A589" s="3">
        <f>SUBTOTAL(103,B$2:B589)*1</f>
        <v>588</v>
      </c>
      <c r="B589" s="47" t="s">
        <v>1900</v>
      </c>
      <c r="C589" s="38">
        <v>45984</v>
      </c>
      <c r="D589" s="38"/>
    </row>
    <row r="590" spans="1:4" x14ac:dyDescent="0.25">
      <c r="A590" s="3">
        <f>SUBTOTAL(103,B$2:B590)*1</f>
        <v>589</v>
      </c>
      <c r="B590" s="47" t="s">
        <v>1901</v>
      </c>
      <c r="C590" s="38">
        <v>45984</v>
      </c>
      <c r="D590" s="38"/>
    </row>
    <row r="591" spans="1:4" x14ac:dyDescent="0.25">
      <c r="A591" s="3">
        <f>SUBTOTAL(103,B$2:B591)*1</f>
        <v>590</v>
      </c>
      <c r="B591" s="47" t="s">
        <v>1902</v>
      </c>
      <c r="C591" s="38">
        <v>45984</v>
      </c>
      <c r="D591" s="38"/>
    </row>
    <row r="592" spans="1:4" x14ac:dyDescent="0.25">
      <c r="A592" s="3">
        <f>SUBTOTAL(103,B$2:B592)*1</f>
        <v>591</v>
      </c>
      <c r="B592" s="47" t="s">
        <v>1903</v>
      </c>
      <c r="C592" s="38">
        <v>45984</v>
      </c>
      <c r="D592" s="38"/>
    </row>
    <row r="593" spans="1:4" x14ac:dyDescent="0.25">
      <c r="A593" s="3">
        <f>SUBTOTAL(103,B$2:B593)*1</f>
        <v>592</v>
      </c>
      <c r="B593" s="47" t="s">
        <v>1904</v>
      </c>
      <c r="C593" s="38">
        <v>45984</v>
      </c>
      <c r="D593" s="38"/>
    </row>
    <row r="594" spans="1:4" x14ac:dyDescent="0.25">
      <c r="A594" s="3">
        <f>SUBTOTAL(103,B$2:B594)*1</f>
        <v>593</v>
      </c>
      <c r="B594" s="47" t="s">
        <v>1905</v>
      </c>
      <c r="C594" s="38">
        <v>45984</v>
      </c>
      <c r="D594" s="38"/>
    </row>
    <row r="595" spans="1:4" x14ac:dyDescent="0.25">
      <c r="A595" s="3">
        <f>SUBTOTAL(103,B$2:B595)*1</f>
        <v>594</v>
      </c>
      <c r="B595" s="47" t="s">
        <v>1908</v>
      </c>
      <c r="C595" s="38">
        <v>45984</v>
      </c>
      <c r="D595" s="38"/>
    </row>
    <row r="596" spans="1:4" x14ac:dyDescent="0.25">
      <c r="A596" s="3">
        <f>SUBTOTAL(103,B$2:B596)*1</f>
        <v>595</v>
      </c>
      <c r="B596" s="47" t="s">
        <v>1910</v>
      </c>
      <c r="C596" s="38">
        <v>45984</v>
      </c>
      <c r="D596" s="38"/>
    </row>
    <row r="597" spans="1:4" x14ac:dyDescent="0.25">
      <c r="A597" s="3">
        <f>SUBTOTAL(103,B$2:B597)*1</f>
        <v>596</v>
      </c>
      <c r="B597" s="47" t="s">
        <v>1911</v>
      </c>
      <c r="C597" s="38">
        <v>45984</v>
      </c>
      <c r="D597" s="38"/>
    </row>
    <row r="598" spans="1:4" x14ac:dyDescent="0.25">
      <c r="A598" s="3">
        <f>SUBTOTAL(103,B$2:B598)*1</f>
        <v>597</v>
      </c>
      <c r="B598" s="47" t="s">
        <v>1913</v>
      </c>
      <c r="C598" s="38">
        <v>45984</v>
      </c>
      <c r="D598" s="38"/>
    </row>
    <row r="599" spans="1:4" x14ac:dyDescent="0.25">
      <c r="A599" s="3">
        <f>SUBTOTAL(103,B$2:B599)*1</f>
        <v>598</v>
      </c>
      <c r="B599" s="47" t="s">
        <v>1915</v>
      </c>
      <c r="C599" s="38">
        <v>45984</v>
      </c>
      <c r="D599" s="38"/>
    </row>
    <row r="600" spans="1:4" x14ac:dyDescent="0.25">
      <c r="A600" s="3">
        <f>SUBTOTAL(103,B$2:B600)*1</f>
        <v>599</v>
      </c>
      <c r="B600" s="47" t="s">
        <v>1918</v>
      </c>
      <c r="C600" s="38">
        <v>45984</v>
      </c>
      <c r="D600" s="38"/>
    </row>
    <row r="601" spans="1:4" x14ac:dyDescent="0.25">
      <c r="A601" s="3">
        <f>SUBTOTAL(103,B$2:B601)*1</f>
        <v>600</v>
      </c>
      <c r="B601" s="47" t="s">
        <v>1920</v>
      </c>
      <c r="C601" s="38">
        <v>45984</v>
      </c>
      <c r="D601" s="38"/>
    </row>
    <row r="602" spans="1:4" x14ac:dyDescent="0.25">
      <c r="A602" s="3">
        <f>SUBTOTAL(103,B$2:B602)*1</f>
        <v>601</v>
      </c>
      <c r="B602" s="47" t="s">
        <v>1923</v>
      </c>
      <c r="C602" s="38">
        <v>45984</v>
      </c>
      <c r="D602" s="38"/>
    </row>
    <row r="603" spans="1:4" x14ac:dyDescent="0.25">
      <c r="A603" s="3">
        <f>SUBTOTAL(103,B$2:B603)*1</f>
        <v>602</v>
      </c>
      <c r="B603" s="47" t="s">
        <v>1925</v>
      </c>
      <c r="C603" s="38">
        <v>45984</v>
      </c>
      <c r="D603" s="38"/>
    </row>
    <row r="604" spans="1:4" x14ac:dyDescent="0.25">
      <c r="A604" s="3">
        <f>SUBTOTAL(103,B$2:B604)*1</f>
        <v>603</v>
      </c>
      <c r="B604" s="47" t="s">
        <v>1928</v>
      </c>
      <c r="C604" s="38">
        <v>45984</v>
      </c>
      <c r="D604" s="38"/>
    </row>
    <row r="605" spans="1:4" x14ac:dyDescent="0.25">
      <c r="A605" s="3">
        <f>SUBTOTAL(103,B$2:B605)*1</f>
        <v>604</v>
      </c>
      <c r="B605" s="47" t="s">
        <v>1930</v>
      </c>
      <c r="C605" s="38">
        <v>45984</v>
      </c>
      <c r="D605" s="38"/>
    </row>
    <row r="606" spans="1:4" x14ac:dyDescent="0.25">
      <c r="A606" s="3">
        <f>SUBTOTAL(103,B$2:B606)*1</f>
        <v>605</v>
      </c>
      <c r="B606" s="47" t="s">
        <v>1932</v>
      </c>
      <c r="C606" s="38">
        <v>45984</v>
      </c>
      <c r="D606" s="38"/>
    </row>
    <row r="607" spans="1:4" x14ac:dyDescent="0.25">
      <c r="A607" s="3">
        <f>SUBTOTAL(103,B$2:B607)*1</f>
        <v>606</v>
      </c>
      <c r="B607" s="47" t="s">
        <v>1933</v>
      </c>
      <c r="C607" s="38">
        <v>45984</v>
      </c>
      <c r="D607" s="38"/>
    </row>
    <row r="608" spans="1:4" x14ac:dyDescent="0.25">
      <c r="A608" s="3">
        <f>SUBTOTAL(103,B$2:B608)*1</f>
        <v>607</v>
      </c>
      <c r="B608" s="47" t="s">
        <v>1934</v>
      </c>
      <c r="C608" s="38">
        <v>45984</v>
      </c>
      <c r="D608" s="38"/>
    </row>
    <row r="609" spans="1:4" x14ac:dyDescent="0.25">
      <c r="A609" s="3">
        <f>SUBTOTAL(103,B$2:B609)*1</f>
        <v>608</v>
      </c>
      <c r="B609" s="47" t="s">
        <v>1937</v>
      </c>
      <c r="C609" s="38">
        <v>45984</v>
      </c>
      <c r="D609" s="38"/>
    </row>
    <row r="610" spans="1:4" x14ac:dyDescent="0.25">
      <c r="A610" s="3">
        <f>SUBTOTAL(103,B$2:B610)*1</f>
        <v>609</v>
      </c>
      <c r="B610" s="47" t="s">
        <v>1940</v>
      </c>
      <c r="C610" s="38">
        <v>45984</v>
      </c>
      <c r="D610" s="38"/>
    </row>
    <row r="611" spans="1:4" x14ac:dyDescent="0.25">
      <c r="A611" s="3">
        <f>SUBTOTAL(103,B$2:B611)*1</f>
        <v>610</v>
      </c>
      <c r="B611" s="47" t="s">
        <v>1942</v>
      </c>
      <c r="C611" s="38">
        <v>45984</v>
      </c>
      <c r="D611" s="38"/>
    </row>
    <row r="612" spans="1:4" x14ac:dyDescent="0.25">
      <c r="A612" s="3">
        <f>SUBTOTAL(103,B$2:B612)*1</f>
        <v>611</v>
      </c>
      <c r="B612" s="47" t="s">
        <v>1943</v>
      </c>
      <c r="C612" s="38">
        <v>45984</v>
      </c>
      <c r="D612" s="38"/>
    </row>
    <row r="613" spans="1:4" x14ac:dyDescent="0.25">
      <c r="A613" s="3">
        <f>SUBTOTAL(103,B$2:B613)*1</f>
        <v>612</v>
      </c>
      <c r="B613" s="47" t="s">
        <v>1944</v>
      </c>
      <c r="C613" s="38">
        <v>45984</v>
      </c>
      <c r="D613" s="38"/>
    </row>
    <row r="614" spans="1:4" x14ac:dyDescent="0.25">
      <c r="A614" s="3">
        <f>SUBTOTAL(103,B$2:B614)*1</f>
        <v>613</v>
      </c>
      <c r="B614" s="47" t="s">
        <v>1945</v>
      </c>
      <c r="C614" s="38">
        <v>45984</v>
      </c>
      <c r="D614" s="38"/>
    </row>
    <row r="615" spans="1:4" x14ac:dyDescent="0.25">
      <c r="A615" s="3">
        <f>SUBTOTAL(103,B$2:B615)*1</f>
        <v>614</v>
      </c>
      <c r="B615" s="47" t="s">
        <v>1948</v>
      </c>
      <c r="C615" s="38">
        <v>45991</v>
      </c>
      <c r="D615" s="38"/>
    </row>
    <row r="616" spans="1:4" x14ac:dyDescent="0.25">
      <c r="A616" s="3">
        <f>SUBTOTAL(103,B$2:B616)*1</f>
        <v>615</v>
      </c>
      <c r="B616" s="47" t="s">
        <v>1951</v>
      </c>
      <c r="C616" s="38">
        <v>45991</v>
      </c>
      <c r="D616" s="38"/>
    </row>
    <row r="617" spans="1:4" x14ac:dyDescent="0.25">
      <c r="A617" s="3">
        <f>SUBTOTAL(103,B$2:B617)*1</f>
        <v>616</v>
      </c>
      <c r="B617" s="47" t="s">
        <v>1952</v>
      </c>
      <c r="C617" s="38">
        <v>45991</v>
      </c>
      <c r="D617" s="38"/>
    </row>
    <row r="618" spans="1:4" x14ac:dyDescent="0.25">
      <c r="A618" s="3">
        <f>SUBTOTAL(103,B$2:B618)*1</f>
        <v>617</v>
      </c>
      <c r="B618" s="47" t="s">
        <v>1966</v>
      </c>
      <c r="C618" s="38">
        <v>45991</v>
      </c>
      <c r="D618" s="38"/>
    </row>
    <row r="619" spans="1:4" x14ac:dyDescent="0.25">
      <c r="A619" s="3">
        <f>SUBTOTAL(103,B$2:B619)*1</f>
        <v>618</v>
      </c>
      <c r="B619" s="47" t="s">
        <v>1969</v>
      </c>
      <c r="C619" s="38">
        <v>45991</v>
      </c>
      <c r="D619" s="38"/>
    </row>
    <row r="620" spans="1:4" x14ac:dyDescent="0.25">
      <c r="A620" s="3">
        <f>SUBTOTAL(103,B$2:B620)*1</f>
        <v>619</v>
      </c>
      <c r="B620" s="47" t="s">
        <v>1972</v>
      </c>
      <c r="C620" s="38">
        <v>45991</v>
      </c>
      <c r="D620" s="38"/>
    </row>
    <row r="621" spans="1:4" x14ac:dyDescent="0.25">
      <c r="A621" s="3">
        <f>SUBTOTAL(103,B$2:B621)*1</f>
        <v>620</v>
      </c>
      <c r="B621" s="47" t="s">
        <v>1973</v>
      </c>
      <c r="C621" s="38">
        <v>45991</v>
      </c>
      <c r="D621" s="38"/>
    </row>
    <row r="622" spans="1:4" x14ac:dyDescent="0.25">
      <c r="A622" s="3">
        <f>SUBTOTAL(103,B$2:B622)*1</f>
        <v>621</v>
      </c>
      <c r="B622" s="47" t="s">
        <v>1974</v>
      </c>
      <c r="C622" s="38">
        <v>45991</v>
      </c>
      <c r="D622" s="38"/>
    </row>
    <row r="623" spans="1:4" x14ac:dyDescent="0.25">
      <c r="A623" s="3">
        <f>SUBTOTAL(103,B$2:B623)*1</f>
        <v>622</v>
      </c>
      <c r="B623" s="47" t="s">
        <v>1975</v>
      </c>
      <c r="C623" s="38">
        <v>45991</v>
      </c>
      <c r="D623" s="38"/>
    </row>
    <row r="624" spans="1:4" x14ac:dyDescent="0.25">
      <c r="A624" s="3">
        <f>SUBTOTAL(103,B$2:B624)*1</f>
        <v>623</v>
      </c>
      <c r="B624" s="47" t="s">
        <v>1949</v>
      </c>
      <c r="C624" s="38">
        <v>45991</v>
      </c>
      <c r="D624" s="38"/>
    </row>
    <row r="625" spans="1:4" x14ac:dyDescent="0.25">
      <c r="A625" s="3">
        <f>SUBTOTAL(103,B$2:B625)*1</f>
        <v>624</v>
      </c>
      <c r="B625" s="47" t="s">
        <v>1978</v>
      </c>
      <c r="C625" s="38">
        <v>45991</v>
      </c>
      <c r="D625" s="38"/>
    </row>
    <row r="626" spans="1:4" x14ac:dyDescent="0.25">
      <c r="A626" s="3">
        <f>SUBTOTAL(103,B$2:B626)*1</f>
        <v>625</v>
      </c>
      <c r="B626" s="47" t="s">
        <v>1979</v>
      </c>
      <c r="C626" s="38">
        <v>45991</v>
      </c>
      <c r="D626" s="38"/>
    </row>
    <row r="627" spans="1:4" x14ac:dyDescent="0.25">
      <c r="A627" s="3">
        <f>SUBTOTAL(103,B$2:B627)*1</f>
        <v>626</v>
      </c>
      <c r="B627" s="47" t="s">
        <v>1980</v>
      </c>
      <c r="C627" s="38">
        <v>45991</v>
      </c>
      <c r="D627" s="38"/>
    </row>
    <row r="628" spans="1:4" x14ac:dyDescent="0.25">
      <c r="A628" s="3">
        <f>SUBTOTAL(103,B$2:B628)*1</f>
        <v>627</v>
      </c>
      <c r="B628" s="47" t="s">
        <v>1982</v>
      </c>
      <c r="C628" s="38">
        <v>45991</v>
      </c>
      <c r="D628" s="38"/>
    </row>
    <row r="629" spans="1:4" x14ac:dyDescent="0.25">
      <c r="A629" s="3">
        <f>SUBTOTAL(103,B$2:B629)*1</f>
        <v>628</v>
      </c>
      <c r="B629" s="47" t="s">
        <v>1984</v>
      </c>
      <c r="C629" s="38">
        <v>45991</v>
      </c>
      <c r="D629" s="38"/>
    </row>
    <row r="630" spans="1:4" x14ac:dyDescent="0.25">
      <c r="A630" s="3">
        <f>SUBTOTAL(103,B$2:B630)*1</f>
        <v>629</v>
      </c>
      <c r="B630" s="47" t="s">
        <v>1985</v>
      </c>
      <c r="C630" s="38">
        <v>45991</v>
      </c>
      <c r="D630" s="38"/>
    </row>
    <row r="631" spans="1:4" x14ac:dyDescent="0.25">
      <c r="A631" s="3">
        <f>SUBTOTAL(103,B$2:B631)*1</f>
        <v>630</v>
      </c>
      <c r="B631" s="47" t="s">
        <v>1988</v>
      </c>
      <c r="C631" s="38">
        <v>45991</v>
      </c>
      <c r="D631" s="38"/>
    </row>
    <row r="632" spans="1:4" x14ac:dyDescent="0.25">
      <c r="A632" s="3">
        <f>SUBTOTAL(103,B$2:B632)*1</f>
        <v>631</v>
      </c>
      <c r="B632" s="47" t="s">
        <v>1990</v>
      </c>
      <c r="C632" s="38">
        <v>45991</v>
      </c>
      <c r="D632" s="38"/>
    </row>
    <row r="633" spans="1:4" x14ac:dyDescent="0.25">
      <c r="A633" s="3">
        <f>SUBTOTAL(103,B$2:B633)*1</f>
        <v>632</v>
      </c>
      <c r="B633" s="47" t="s">
        <v>1991</v>
      </c>
      <c r="C633" s="38">
        <v>45991</v>
      </c>
      <c r="D633" s="38"/>
    </row>
    <row r="634" spans="1:4" x14ac:dyDescent="0.25">
      <c r="A634" s="3">
        <f>SUBTOTAL(103,B$2:B634)*1</f>
        <v>633</v>
      </c>
      <c r="B634" s="47" t="s">
        <v>1993</v>
      </c>
      <c r="C634" s="38">
        <v>45991</v>
      </c>
      <c r="D634" s="38"/>
    </row>
    <row r="635" spans="1:4" x14ac:dyDescent="0.25">
      <c r="A635" s="3">
        <f>SUBTOTAL(103,B$2:B635)*1</f>
        <v>634</v>
      </c>
      <c r="B635" s="47" t="s">
        <v>1995</v>
      </c>
      <c r="C635" s="38">
        <v>45991</v>
      </c>
      <c r="D635" s="38"/>
    </row>
    <row r="636" spans="1:4" x14ac:dyDescent="0.25">
      <c r="A636" s="3">
        <f>SUBTOTAL(103,B$2:B636)*1</f>
        <v>635</v>
      </c>
      <c r="B636" s="47" t="s">
        <v>1996</v>
      </c>
      <c r="C636" s="38">
        <v>45991</v>
      </c>
      <c r="D636" s="38"/>
    </row>
    <row r="637" spans="1:4" x14ac:dyDescent="0.25">
      <c r="A637" s="3">
        <f>SUBTOTAL(103,B$2:B637)*1</f>
        <v>636</v>
      </c>
      <c r="B637" s="47" t="s">
        <v>1997</v>
      </c>
      <c r="C637" s="38">
        <v>45991</v>
      </c>
      <c r="D637" s="38"/>
    </row>
    <row r="638" spans="1:4" x14ac:dyDescent="0.25">
      <c r="A638" s="3">
        <f>SUBTOTAL(103,B$2:B638)*1</f>
        <v>637</v>
      </c>
      <c r="B638" s="47" t="s">
        <v>1950</v>
      </c>
      <c r="C638" s="38">
        <v>45991</v>
      </c>
      <c r="D638" s="53" t="s">
        <v>1790</v>
      </c>
    </row>
    <row r="639" spans="1:4" x14ac:dyDescent="0.25">
      <c r="A639" s="3">
        <f>SUBTOTAL(103,B$2:B639)*1</f>
        <v>638</v>
      </c>
      <c r="B639" s="47" t="s">
        <v>1999</v>
      </c>
      <c r="C639" s="38">
        <v>45991</v>
      </c>
      <c r="D639" s="38"/>
    </row>
    <row r="640" spans="1:4" x14ac:dyDescent="0.25">
      <c r="A640" s="3">
        <f>SUBTOTAL(103,B$2:B640)*1</f>
        <v>639</v>
      </c>
      <c r="B640" s="47" t="s">
        <v>2000</v>
      </c>
      <c r="C640" s="38">
        <v>45991</v>
      </c>
      <c r="D640" s="38"/>
    </row>
    <row r="641" spans="1:4" x14ac:dyDescent="0.25">
      <c r="A641" s="3">
        <f>SUBTOTAL(103,B$2:B641)*1</f>
        <v>640</v>
      </c>
      <c r="B641" s="47" t="s">
        <v>2001</v>
      </c>
      <c r="C641" s="38">
        <v>45991</v>
      </c>
      <c r="D641" s="53" t="s">
        <v>1790</v>
      </c>
    </row>
    <row r="642" spans="1:4" x14ac:dyDescent="0.25">
      <c r="A642" s="3">
        <f>SUBTOTAL(103,B$2:B642)*1</f>
        <v>641</v>
      </c>
      <c r="B642" s="47" t="s">
        <v>2016</v>
      </c>
      <c r="C642" s="38">
        <v>45998</v>
      </c>
      <c r="D642" s="38"/>
    </row>
    <row r="643" spans="1:4" x14ac:dyDescent="0.25">
      <c r="A643" s="3">
        <f>SUBTOTAL(103,B$2:B643)*1</f>
        <v>642</v>
      </c>
      <c r="B643" s="47" t="s">
        <v>2023</v>
      </c>
      <c r="C643" s="38">
        <v>45998</v>
      </c>
      <c r="D643" s="38"/>
    </row>
    <row r="644" spans="1:4" x14ac:dyDescent="0.25">
      <c r="A644" s="3">
        <f>SUBTOTAL(103,B$2:B644)*1</f>
        <v>643</v>
      </c>
      <c r="B644" s="47" t="s">
        <v>2025</v>
      </c>
      <c r="C644" s="38">
        <v>45998</v>
      </c>
      <c r="D644" s="38"/>
    </row>
    <row r="645" spans="1:4" x14ac:dyDescent="0.25">
      <c r="A645" s="3">
        <f>SUBTOTAL(103,B$2:B645)*1</f>
        <v>644</v>
      </c>
      <c r="B645" s="47" t="s">
        <v>2027</v>
      </c>
      <c r="C645" s="38">
        <v>45998</v>
      </c>
      <c r="D645" s="38"/>
    </row>
    <row r="646" spans="1:4" x14ac:dyDescent="0.25">
      <c r="A646" s="3">
        <f>SUBTOTAL(103,B$2:B646)*1</f>
        <v>645</v>
      </c>
      <c r="B646" s="47" t="s">
        <v>2029</v>
      </c>
      <c r="C646" s="38">
        <v>45998</v>
      </c>
      <c r="D646" s="38"/>
    </row>
    <row r="647" spans="1:4" x14ac:dyDescent="0.25">
      <c r="A647" s="3">
        <f>SUBTOTAL(103,B$2:B647)*1</f>
        <v>646</v>
      </c>
      <c r="B647" s="47" t="s">
        <v>2030</v>
      </c>
      <c r="C647" s="38">
        <v>45998</v>
      </c>
      <c r="D647" s="38"/>
    </row>
    <row r="648" spans="1:4" x14ac:dyDescent="0.25">
      <c r="A648" s="3">
        <f>SUBTOTAL(103,B$2:B648)*1</f>
        <v>647</v>
      </c>
      <c r="B648" s="47" t="s">
        <v>2032</v>
      </c>
      <c r="C648" s="38">
        <v>45998</v>
      </c>
      <c r="D648" s="38"/>
    </row>
    <row r="649" spans="1:4" x14ac:dyDescent="0.25">
      <c r="A649" s="3">
        <f>SUBTOTAL(103,B$2:B649)*1</f>
        <v>648</v>
      </c>
      <c r="B649" s="47" t="s">
        <v>2034</v>
      </c>
      <c r="C649" s="38">
        <v>45998</v>
      </c>
      <c r="D649" s="38"/>
    </row>
    <row r="650" spans="1:4" x14ac:dyDescent="0.25">
      <c r="A650" s="3">
        <f>SUBTOTAL(103,B$2:B650)*1</f>
        <v>649</v>
      </c>
      <c r="B650" s="47" t="s">
        <v>2036</v>
      </c>
      <c r="C650" s="38">
        <v>45998</v>
      </c>
      <c r="D650" s="38"/>
    </row>
    <row r="651" spans="1:4" x14ac:dyDescent="0.25">
      <c r="A651" s="3">
        <f>SUBTOTAL(103,B$2:B651)*1</f>
        <v>650</v>
      </c>
      <c r="B651" s="47" t="s">
        <v>2038</v>
      </c>
      <c r="C651" s="38">
        <v>45998</v>
      </c>
      <c r="D651" s="38"/>
    </row>
    <row r="652" spans="1:4" x14ac:dyDescent="0.25">
      <c r="A652" s="3">
        <f>SUBTOTAL(103,B$2:B652)*1</f>
        <v>651</v>
      </c>
      <c r="B652" s="47" t="s">
        <v>2040</v>
      </c>
      <c r="C652" s="38">
        <v>45998</v>
      </c>
      <c r="D652" s="38"/>
    </row>
    <row r="653" spans="1:4" x14ac:dyDescent="0.25">
      <c r="A653" s="3">
        <f>SUBTOTAL(103,B$2:B653)*1</f>
        <v>652</v>
      </c>
      <c r="B653" s="47" t="s">
        <v>2041</v>
      </c>
      <c r="C653" s="38">
        <v>45998</v>
      </c>
      <c r="D653" s="38"/>
    </row>
    <row r="654" spans="1:4" x14ac:dyDescent="0.25">
      <c r="A654" s="3">
        <f>SUBTOTAL(103,B$2:B654)*1</f>
        <v>653</v>
      </c>
      <c r="B654" s="47" t="s">
        <v>2013</v>
      </c>
      <c r="C654" s="38">
        <v>45998</v>
      </c>
      <c r="D654" s="38"/>
    </row>
    <row r="655" spans="1:4" x14ac:dyDescent="0.25">
      <c r="A655" s="3">
        <f>SUBTOTAL(103,B$2:B655)*1</f>
        <v>654</v>
      </c>
      <c r="B655" s="47" t="s">
        <v>2014</v>
      </c>
      <c r="C655" s="38">
        <v>45998</v>
      </c>
      <c r="D655" s="38"/>
    </row>
    <row r="656" spans="1:4" x14ac:dyDescent="0.25">
      <c r="A656" s="3">
        <f>SUBTOTAL(103,B$2:B656)*1</f>
        <v>655</v>
      </c>
      <c r="B656" s="47" t="s">
        <v>2042</v>
      </c>
      <c r="C656" s="38">
        <v>45998</v>
      </c>
      <c r="D656" s="38"/>
    </row>
    <row r="657" spans="1:4" x14ac:dyDescent="0.25">
      <c r="A657" s="3">
        <f>SUBTOTAL(103,B$2:B657)*1</f>
        <v>656</v>
      </c>
      <c r="B657" s="47" t="s">
        <v>2043</v>
      </c>
      <c r="C657" s="38">
        <v>45998</v>
      </c>
      <c r="D657" s="38"/>
    </row>
    <row r="658" spans="1:4" x14ac:dyDescent="0.25">
      <c r="A658" s="3">
        <f>SUBTOTAL(103,B$2:B658)*1</f>
        <v>657</v>
      </c>
      <c r="B658" s="47" t="s">
        <v>2044</v>
      </c>
      <c r="C658" s="38">
        <v>45998</v>
      </c>
      <c r="D658" s="38"/>
    </row>
    <row r="659" spans="1:4" x14ac:dyDescent="0.25">
      <c r="A659" s="3">
        <f>SUBTOTAL(103,B$2:B659)*1</f>
        <v>658</v>
      </c>
      <c r="B659" s="47" t="s">
        <v>2015</v>
      </c>
      <c r="C659" s="38">
        <v>45998</v>
      </c>
      <c r="D659" s="38"/>
    </row>
    <row r="660" spans="1:4" x14ac:dyDescent="0.25">
      <c r="A660" s="3">
        <f>SUBTOTAL(103,B$2:B660)*1</f>
        <v>659</v>
      </c>
      <c r="B660" s="47" t="s">
        <v>2046</v>
      </c>
      <c r="C660" s="38">
        <v>45998</v>
      </c>
      <c r="D660" s="38"/>
    </row>
    <row r="661" spans="1:4" x14ac:dyDescent="0.25">
      <c r="A661" s="3">
        <f>SUBTOTAL(103,B$2:B661)*1</f>
        <v>660</v>
      </c>
      <c r="B661" s="47" t="s">
        <v>2047</v>
      </c>
      <c r="C661" s="38">
        <v>45998</v>
      </c>
      <c r="D661" s="38"/>
    </row>
    <row r="662" spans="1:4" x14ac:dyDescent="0.25">
      <c r="A662" s="3">
        <f>SUBTOTAL(103,B$2:B662)*1</f>
        <v>661</v>
      </c>
      <c r="B662" s="47" t="s">
        <v>2048</v>
      </c>
      <c r="C662" s="38">
        <v>45998</v>
      </c>
      <c r="D662" s="38"/>
    </row>
    <row r="663" spans="1:4" x14ac:dyDescent="0.25">
      <c r="A663" s="3">
        <f>SUBTOTAL(103,B$2:B663)*1</f>
        <v>662</v>
      </c>
      <c r="B663" s="47" t="s">
        <v>2051</v>
      </c>
      <c r="C663" s="38">
        <v>45998</v>
      </c>
      <c r="D663" s="38"/>
    </row>
    <row r="664" spans="1:4" x14ac:dyDescent="0.25">
      <c r="A664" s="3">
        <f>SUBTOTAL(103,B$2:B664)*1</f>
        <v>663</v>
      </c>
      <c r="B664" s="47" t="s">
        <v>2058</v>
      </c>
      <c r="C664" s="38">
        <v>46005</v>
      </c>
      <c r="D664" s="38"/>
    </row>
    <row r="665" spans="1:4" x14ac:dyDescent="0.25">
      <c r="A665" s="3">
        <f>SUBTOTAL(103,B$2:B665)*1</f>
        <v>664</v>
      </c>
      <c r="B665" s="47" t="s">
        <v>2065</v>
      </c>
      <c r="C665" s="38">
        <v>46005</v>
      </c>
      <c r="D665" s="38"/>
    </row>
    <row r="666" spans="1:4" x14ac:dyDescent="0.25">
      <c r="A666" s="3">
        <f>SUBTOTAL(103,B$2:B666)*1</f>
        <v>665</v>
      </c>
      <c r="B666" s="47" t="s">
        <v>2069</v>
      </c>
      <c r="C666" s="38">
        <v>46005</v>
      </c>
      <c r="D666" s="38"/>
    </row>
    <row r="667" spans="1:4" ht="28" x14ac:dyDescent="0.25">
      <c r="A667" s="3">
        <f>SUBTOTAL(103,B$2:B667)*1</f>
        <v>666</v>
      </c>
      <c r="B667" s="47" t="s">
        <v>2073</v>
      </c>
      <c r="C667" s="38">
        <v>46005</v>
      </c>
      <c r="D667" s="38"/>
    </row>
    <row r="668" spans="1:4" x14ac:dyDescent="0.25">
      <c r="A668" s="3">
        <f>SUBTOTAL(103,B$2:B668)*1</f>
        <v>667</v>
      </c>
      <c r="B668" s="47" t="s">
        <v>2076</v>
      </c>
      <c r="C668" s="38">
        <v>46005</v>
      </c>
      <c r="D668" s="38"/>
    </row>
    <row r="669" spans="1:4" x14ac:dyDescent="0.25">
      <c r="A669" s="3">
        <f>SUBTOTAL(103,B$2:B669)*1</f>
        <v>668</v>
      </c>
      <c r="B669" s="47" t="s">
        <v>2077</v>
      </c>
      <c r="C669" s="38">
        <v>46005</v>
      </c>
      <c r="D669" s="38"/>
    </row>
    <row r="670" spans="1:4" x14ac:dyDescent="0.25">
      <c r="A670" s="3">
        <f>SUBTOTAL(103,B$2:B670)*1</f>
        <v>669</v>
      </c>
      <c r="B670" s="47" t="s">
        <v>2078</v>
      </c>
      <c r="C670" s="38">
        <v>46005</v>
      </c>
      <c r="D670" s="38"/>
    </row>
    <row r="671" spans="1:4" x14ac:dyDescent="0.25">
      <c r="A671" s="3">
        <f>SUBTOTAL(103,B$2:B671)*1</f>
        <v>670</v>
      </c>
      <c r="B671" s="47" t="s">
        <v>2080</v>
      </c>
      <c r="C671" s="38">
        <v>46005</v>
      </c>
      <c r="D671" s="38"/>
    </row>
    <row r="672" spans="1:4" x14ac:dyDescent="0.25">
      <c r="A672" s="3">
        <f>SUBTOTAL(103,B$2:B672)*1</f>
        <v>671</v>
      </c>
      <c r="B672" s="47" t="s">
        <v>2082</v>
      </c>
      <c r="C672" s="38">
        <v>46005</v>
      </c>
      <c r="D672" s="38"/>
    </row>
    <row r="673" spans="1:4" x14ac:dyDescent="0.25">
      <c r="A673" s="3">
        <f>SUBTOTAL(103,B$2:B673)*1</f>
        <v>672</v>
      </c>
      <c r="B673" s="47" t="s">
        <v>2085</v>
      </c>
      <c r="C673" s="38">
        <v>46005</v>
      </c>
      <c r="D673" s="38"/>
    </row>
    <row r="674" spans="1:4" x14ac:dyDescent="0.25">
      <c r="A674" s="3">
        <f>SUBTOTAL(103,B$2:B674)*1</f>
        <v>673</v>
      </c>
      <c r="B674" s="47" t="s">
        <v>2087</v>
      </c>
      <c r="C674" s="38">
        <v>46005</v>
      </c>
      <c r="D674" s="38"/>
    </row>
    <row r="675" spans="1:4" x14ac:dyDescent="0.25">
      <c r="A675" s="3">
        <f>SUBTOTAL(103,B$2:B675)*1</f>
        <v>674</v>
      </c>
      <c r="B675" s="47" t="s">
        <v>2091</v>
      </c>
      <c r="C675" s="38">
        <v>46005</v>
      </c>
      <c r="D675" s="38"/>
    </row>
    <row r="676" spans="1:4" x14ac:dyDescent="0.25">
      <c r="A676" s="3">
        <f>SUBTOTAL(103,B$2:B676)*1</f>
        <v>675</v>
      </c>
      <c r="B676" s="47" t="s">
        <v>2093</v>
      </c>
      <c r="C676" s="38">
        <v>46005</v>
      </c>
      <c r="D676" s="38"/>
    </row>
    <row r="677" spans="1:4" x14ac:dyDescent="0.25">
      <c r="A677" s="3">
        <f>SUBTOTAL(103,B$2:B677)*1</f>
        <v>676</v>
      </c>
      <c r="B677" s="47" t="s">
        <v>2096</v>
      </c>
      <c r="C677" s="38">
        <v>46005</v>
      </c>
      <c r="D677" s="38"/>
    </row>
    <row r="678" spans="1:4" x14ac:dyDescent="0.25">
      <c r="A678" s="3">
        <f>SUBTOTAL(103,B$2:B678)*1</f>
        <v>677</v>
      </c>
      <c r="B678" s="47" t="s">
        <v>2098</v>
      </c>
      <c r="C678" s="38">
        <v>46005</v>
      </c>
      <c r="D678" s="38"/>
    </row>
    <row r="679" spans="1:4" x14ac:dyDescent="0.25">
      <c r="A679" s="3">
        <f>SUBTOTAL(103,B$2:B679)*1</f>
        <v>678</v>
      </c>
      <c r="B679" s="47" t="s">
        <v>2102</v>
      </c>
      <c r="C679" s="38">
        <v>46005</v>
      </c>
      <c r="D679" s="38"/>
    </row>
    <row r="680" spans="1:4" x14ac:dyDescent="0.25">
      <c r="A680" s="3">
        <f>SUBTOTAL(103,B$2:B680)*1</f>
        <v>679</v>
      </c>
      <c r="B680" s="47" t="s">
        <v>2103</v>
      </c>
      <c r="C680" s="38">
        <v>46005</v>
      </c>
      <c r="D680" s="38"/>
    </row>
    <row r="681" spans="1:4" x14ac:dyDescent="0.25">
      <c r="A681" s="3">
        <f>SUBTOTAL(103,B$2:B681)*1</f>
        <v>680</v>
      </c>
      <c r="B681" s="47" t="s">
        <v>2104</v>
      </c>
      <c r="C681" s="38">
        <v>46005</v>
      </c>
      <c r="D681" s="38"/>
    </row>
    <row r="682" spans="1:4" ht="28" x14ac:dyDescent="0.25">
      <c r="A682" s="3">
        <f>SUBTOTAL(103,B$2:B682)*1</f>
        <v>681</v>
      </c>
      <c r="B682" s="47" t="s">
        <v>2105</v>
      </c>
      <c r="C682" s="38">
        <v>46005</v>
      </c>
      <c r="D682" s="38"/>
    </row>
    <row r="683" spans="1:4" ht="28" x14ac:dyDescent="0.25">
      <c r="A683" s="3">
        <f>SUBTOTAL(103,B$2:B683)*1</f>
        <v>682</v>
      </c>
      <c r="B683" s="47" t="s">
        <v>2107</v>
      </c>
      <c r="C683" s="38">
        <v>46005</v>
      </c>
      <c r="D683" s="38"/>
    </row>
    <row r="684" spans="1:4" x14ac:dyDescent="0.25">
      <c r="A684" s="3">
        <f>SUBTOTAL(103,B$2:B684)*1</f>
        <v>683</v>
      </c>
      <c r="B684" s="47" t="s">
        <v>2109</v>
      </c>
      <c r="C684" s="38">
        <v>46005</v>
      </c>
      <c r="D684" s="38"/>
    </row>
    <row r="685" spans="1:4" x14ac:dyDescent="0.25">
      <c r="A685" s="3">
        <f>SUBTOTAL(103,B$2:B685)*1</f>
        <v>684</v>
      </c>
      <c r="B685" s="47" t="s">
        <v>2111</v>
      </c>
      <c r="C685" s="38">
        <v>46005</v>
      </c>
      <c r="D685" s="38"/>
    </row>
    <row r="686" spans="1:4" x14ac:dyDescent="0.25">
      <c r="A686" s="3">
        <f>SUBTOTAL(103,B$2:B686)*1</f>
        <v>685</v>
      </c>
      <c r="B686" s="47" t="s">
        <v>2057</v>
      </c>
      <c r="C686" s="38">
        <v>46005</v>
      </c>
      <c r="D686" s="53" t="s">
        <v>1790</v>
      </c>
    </row>
    <row r="687" spans="1:4" x14ac:dyDescent="0.25">
      <c r="A687" s="3">
        <f>SUBTOTAL(103,B$2:B687)*1</f>
        <v>686</v>
      </c>
      <c r="B687" s="47" t="s">
        <v>2127</v>
      </c>
      <c r="C687" s="38">
        <v>46013</v>
      </c>
      <c r="D687" s="38"/>
    </row>
    <row r="688" spans="1:4" x14ac:dyDescent="0.25">
      <c r="A688" s="3">
        <f>SUBTOTAL(103,B$2:B688)*1</f>
        <v>687</v>
      </c>
      <c r="B688" s="47" t="s">
        <v>2128</v>
      </c>
      <c r="C688" s="38">
        <v>46013</v>
      </c>
      <c r="D688" s="38"/>
    </row>
    <row r="689" spans="1:4" x14ac:dyDescent="0.25">
      <c r="A689" s="3">
        <f>SUBTOTAL(103,B$2:B689)*1</f>
        <v>688</v>
      </c>
      <c r="B689" s="47" t="s">
        <v>2130</v>
      </c>
      <c r="C689" s="38">
        <v>46013</v>
      </c>
      <c r="D689" s="38"/>
    </row>
    <row r="690" spans="1:4" x14ac:dyDescent="0.25">
      <c r="A690" s="3">
        <f>SUBTOTAL(103,B$2:B690)*1</f>
        <v>689</v>
      </c>
      <c r="B690" s="47" t="s">
        <v>2131</v>
      </c>
      <c r="C690" s="38">
        <v>46013</v>
      </c>
      <c r="D690" s="38"/>
    </row>
    <row r="691" spans="1:4" x14ac:dyDescent="0.25">
      <c r="A691" s="3">
        <f>SUBTOTAL(103,B$2:B691)*1</f>
        <v>690</v>
      </c>
      <c r="B691" s="47" t="s">
        <v>2132</v>
      </c>
      <c r="C691" s="38">
        <v>46013</v>
      </c>
      <c r="D691" s="38"/>
    </row>
    <row r="692" spans="1:4" x14ac:dyDescent="0.25">
      <c r="A692" s="3">
        <f>SUBTOTAL(103,B$2:B692)*1</f>
        <v>691</v>
      </c>
      <c r="B692" s="47" t="s">
        <v>2139</v>
      </c>
      <c r="C692" s="38">
        <v>46013</v>
      </c>
      <c r="D692" s="38"/>
    </row>
    <row r="693" spans="1:4" x14ac:dyDescent="0.25">
      <c r="A693" s="3">
        <f>SUBTOTAL(103,B$2:B693)*1</f>
        <v>692</v>
      </c>
      <c r="B693" s="47" t="s">
        <v>2142</v>
      </c>
      <c r="C693" s="38">
        <v>46013</v>
      </c>
      <c r="D693" s="38"/>
    </row>
    <row r="694" spans="1:4" x14ac:dyDescent="0.25">
      <c r="A694" s="3">
        <f>SUBTOTAL(103,B$2:B694)*1</f>
        <v>693</v>
      </c>
      <c r="B694" s="47" t="s">
        <v>2143</v>
      </c>
      <c r="C694" s="38">
        <v>46013</v>
      </c>
      <c r="D694" s="38"/>
    </row>
    <row r="695" spans="1:4" x14ac:dyDescent="0.25">
      <c r="A695" s="3">
        <f>SUBTOTAL(103,B$2:B695)*1</f>
        <v>694</v>
      </c>
      <c r="B695" s="47" t="s">
        <v>2135</v>
      </c>
      <c r="C695" s="38">
        <v>46013</v>
      </c>
      <c r="D695" s="38"/>
    </row>
    <row r="696" spans="1:4" ht="28" x14ac:dyDescent="0.25">
      <c r="A696" s="3">
        <f>SUBTOTAL(103,B$2:B696)*1</f>
        <v>695</v>
      </c>
      <c r="B696" s="47" t="s">
        <v>2144</v>
      </c>
      <c r="C696" s="38">
        <v>46013</v>
      </c>
      <c r="D696" s="53" t="s">
        <v>2134</v>
      </c>
    </row>
    <row r="697" spans="1:4" x14ac:dyDescent="0.25">
      <c r="A697" s="3">
        <f>SUBTOTAL(103,B$2:B697)*1</f>
        <v>696</v>
      </c>
      <c r="B697" s="47" t="s">
        <v>2145</v>
      </c>
      <c r="C697" s="38">
        <v>46013</v>
      </c>
      <c r="D697" s="38"/>
    </row>
    <row r="698" spans="1:4" x14ac:dyDescent="0.25">
      <c r="A698" s="3">
        <f>SUBTOTAL(103,B$2:B698)*1</f>
        <v>697</v>
      </c>
      <c r="B698" s="47" t="s">
        <v>2146</v>
      </c>
      <c r="C698" s="38">
        <v>46013</v>
      </c>
      <c r="D698" s="38"/>
    </row>
    <row r="699" spans="1:4" x14ac:dyDescent="0.25">
      <c r="A699" s="3">
        <f>SUBTOTAL(103,B$2:B699)*1</f>
        <v>698</v>
      </c>
      <c r="B699" s="47" t="s">
        <v>2147</v>
      </c>
      <c r="C699" s="38">
        <v>46013</v>
      </c>
      <c r="D699" s="38"/>
    </row>
    <row r="700" spans="1:4" x14ac:dyDescent="0.25">
      <c r="A700" s="3">
        <f>SUBTOTAL(103,B$2:B700)*1</f>
        <v>699</v>
      </c>
      <c r="B700" s="47" t="s">
        <v>2148</v>
      </c>
      <c r="C700" s="38">
        <v>46013</v>
      </c>
      <c r="D700" s="38"/>
    </row>
    <row r="701" spans="1:4" x14ac:dyDescent="0.25">
      <c r="A701" s="3">
        <f>SUBTOTAL(103,B$2:B701)*1</f>
        <v>700</v>
      </c>
      <c r="B701" s="47" t="s">
        <v>2126</v>
      </c>
      <c r="C701" s="38">
        <v>46013</v>
      </c>
      <c r="D701" s="53" t="s">
        <v>1790</v>
      </c>
    </row>
    <row r="702" spans="1:4" x14ac:dyDescent="0.25">
      <c r="A702" s="3">
        <f>SUBTOTAL(103,B$2:B702)*1</f>
        <v>701</v>
      </c>
      <c r="B702" s="47" t="s">
        <v>2149</v>
      </c>
      <c r="C702" s="38">
        <v>46013</v>
      </c>
      <c r="D702" s="38"/>
    </row>
    <row r="703" spans="1:4" x14ac:dyDescent="0.25">
      <c r="A703" s="3">
        <f>SUBTOTAL(103,B$2:B703)*1</f>
        <v>702</v>
      </c>
      <c r="B703" s="47" t="s">
        <v>2151</v>
      </c>
      <c r="C703" s="38">
        <v>46013</v>
      </c>
      <c r="D703" s="38"/>
    </row>
    <row r="704" spans="1:4" x14ac:dyDescent="0.25">
      <c r="A704" s="3">
        <f>SUBTOTAL(103,B$2:B704)*1</f>
        <v>703</v>
      </c>
      <c r="B704" s="47" t="s">
        <v>2159</v>
      </c>
      <c r="C704" s="38">
        <v>46013</v>
      </c>
      <c r="D704" s="38"/>
    </row>
    <row r="705" spans="1:4" x14ac:dyDescent="0.25">
      <c r="A705" s="3">
        <f>SUBTOTAL(103,B$2:B705)*1</f>
        <v>704</v>
      </c>
      <c r="B705" s="47" t="s">
        <v>2161</v>
      </c>
      <c r="C705" s="38">
        <v>46013</v>
      </c>
      <c r="D705" s="53" t="s">
        <v>2163</v>
      </c>
    </row>
    <row r="706" spans="1:4" x14ac:dyDescent="0.25">
      <c r="A706" s="3">
        <f>SUBTOTAL(103,B$2:B706)*1</f>
        <v>705</v>
      </c>
      <c r="B706" s="47" t="s">
        <v>2162</v>
      </c>
      <c r="C706" s="38">
        <v>46013</v>
      </c>
      <c r="D706" s="38"/>
    </row>
    <row r="707" spans="1:4" x14ac:dyDescent="0.25">
      <c r="A707" s="3">
        <f>SUBTOTAL(103,B$2:B707)*1</f>
        <v>706</v>
      </c>
      <c r="B707" s="47" t="s">
        <v>2164</v>
      </c>
      <c r="C707" s="38">
        <v>46013</v>
      </c>
      <c r="D707" s="38"/>
    </row>
    <row r="708" spans="1:4" x14ac:dyDescent="0.25">
      <c r="A708" s="3">
        <f>SUBTOTAL(103,B$2:B708)*1</f>
        <v>707</v>
      </c>
      <c r="B708" s="47" t="s">
        <v>2165</v>
      </c>
      <c r="C708" s="38">
        <v>46013</v>
      </c>
      <c r="D708" s="38"/>
    </row>
    <row r="709" spans="1:4" x14ac:dyDescent="0.25">
      <c r="A709" s="3">
        <f>SUBTOTAL(103,B$2:B709)*1</f>
        <v>708</v>
      </c>
      <c r="B709" s="47" t="s">
        <v>2166</v>
      </c>
      <c r="C709" s="38">
        <v>46013</v>
      </c>
      <c r="D709" s="38"/>
    </row>
    <row r="710" spans="1:4" x14ac:dyDescent="0.25">
      <c r="A710" s="3">
        <f>SUBTOTAL(103,B$2:B710)*1</f>
        <v>709</v>
      </c>
      <c r="B710" s="47" t="s">
        <v>2167</v>
      </c>
      <c r="C710" s="38">
        <v>46013</v>
      </c>
      <c r="D710" s="38"/>
    </row>
    <row r="711" spans="1:4" x14ac:dyDescent="0.25">
      <c r="A711" s="3">
        <f>SUBTOTAL(103,B$2:B711)*1</f>
        <v>710</v>
      </c>
      <c r="B711" s="47" t="s">
        <v>2169</v>
      </c>
      <c r="C711" s="38">
        <v>46013</v>
      </c>
      <c r="D711" s="53" t="s">
        <v>2170</v>
      </c>
    </row>
    <row r="712" spans="1:4" x14ac:dyDescent="0.25">
      <c r="A712" s="3">
        <f>SUBTOTAL(103,B$2:B712)*1</f>
        <v>711</v>
      </c>
      <c r="B712" s="47" t="s">
        <v>2171</v>
      </c>
      <c r="C712" s="38">
        <v>46013</v>
      </c>
      <c r="D712" s="38"/>
    </row>
    <row r="713" spans="1:4" x14ac:dyDescent="0.25">
      <c r="A713" s="3">
        <f>SUBTOTAL(103,B$2:B713)*1</f>
        <v>712</v>
      </c>
      <c r="B713" s="47" t="s">
        <v>2173</v>
      </c>
      <c r="C713" s="38">
        <v>46013</v>
      </c>
      <c r="D713" s="38"/>
    </row>
    <row r="714" spans="1:4" x14ac:dyDescent="0.25">
      <c r="A714" s="3">
        <f>SUBTOTAL(103,B$2:B714)*1</f>
        <v>713</v>
      </c>
      <c r="B714" s="47" t="s">
        <v>2174</v>
      </c>
      <c r="C714" s="38">
        <v>46013</v>
      </c>
      <c r="D714" s="38"/>
    </row>
    <row r="715" spans="1:4" x14ac:dyDescent="0.25">
      <c r="A715" s="3">
        <f>SUBTOTAL(103,B$2:B715)*1</f>
        <v>714</v>
      </c>
      <c r="B715" s="47" t="s">
        <v>2476</v>
      </c>
      <c r="C715" s="38">
        <v>46019</v>
      </c>
      <c r="D715" s="38"/>
    </row>
    <row r="716" spans="1:4" x14ac:dyDescent="0.25">
      <c r="A716" s="3">
        <f>SUBTOTAL(103,B$2:B716)*1</f>
        <v>715</v>
      </c>
      <c r="B716" s="47" t="s">
        <v>2477</v>
      </c>
      <c r="C716" s="38">
        <v>46019</v>
      </c>
      <c r="D716" s="38"/>
    </row>
    <row r="717" spans="1:4" x14ac:dyDescent="0.25">
      <c r="A717" s="3">
        <f>SUBTOTAL(103,B$2:B717)*1</f>
        <v>716</v>
      </c>
      <c r="B717" s="47" t="s">
        <v>2478</v>
      </c>
      <c r="C717" s="38">
        <v>46019</v>
      </c>
      <c r="D717" s="38"/>
    </row>
    <row r="718" spans="1:4" x14ac:dyDescent="0.25">
      <c r="A718" s="3">
        <f>SUBTOTAL(103,B$2:B718)*1</f>
        <v>717</v>
      </c>
      <c r="B718" s="47" t="s">
        <v>2479</v>
      </c>
      <c r="C718" s="38">
        <v>46019</v>
      </c>
      <c r="D718" s="38"/>
    </row>
    <row r="719" spans="1:4" x14ac:dyDescent="0.25">
      <c r="A719" s="3">
        <f>SUBTOTAL(103,B$2:B719)*1</f>
        <v>718</v>
      </c>
      <c r="B719" s="47" t="s">
        <v>2480</v>
      </c>
      <c r="C719" s="38">
        <v>46019</v>
      </c>
      <c r="D719" s="38"/>
    </row>
    <row r="720" spans="1:4" x14ac:dyDescent="0.25">
      <c r="A720" s="3">
        <f>SUBTOTAL(103,B$2:B720)*1</f>
        <v>719</v>
      </c>
      <c r="B720" s="47" t="s">
        <v>2481</v>
      </c>
      <c r="C720" s="38">
        <v>46019</v>
      </c>
      <c r="D720" s="38"/>
    </row>
    <row r="721" spans="1:4" x14ac:dyDescent="0.25">
      <c r="A721" s="3">
        <f>SUBTOTAL(103,B$2:B721)*1</f>
        <v>720</v>
      </c>
      <c r="B721" s="47" t="s">
        <v>2484</v>
      </c>
      <c r="C721" s="38">
        <v>46019</v>
      </c>
      <c r="D721" s="38"/>
    </row>
    <row r="722" spans="1:4" x14ac:dyDescent="0.25">
      <c r="A722" s="3">
        <f>SUBTOTAL(103,B$2:B722)*1</f>
        <v>721</v>
      </c>
      <c r="B722" s="47" t="s">
        <v>2486</v>
      </c>
      <c r="C722" s="38">
        <v>46019</v>
      </c>
      <c r="D722" s="38"/>
    </row>
    <row r="723" spans="1:4" x14ac:dyDescent="0.25">
      <c r="A723" s="3">
        <f>SUBTOTAL(103,B$2:B723)*1</f>
        <v>722</v>
      </c>
      <c r="B723" s="47" t="s">
        <v>2503</v>
      </c>
      <c r="C723" s="38">
        <v>46019</v>
      </c>
      <c r="D723" s="53"/>
    </row>
    <row r="724" spans="1:4" x14ac:dyDescent="0.25">
      <c r="A724" s="3">
        <f>SUBTOTAL(103,B$2:B724)*1</f>
        <v>723</v>
      </c>
      <c r="B724" s="47" t="s">
        <v>2473</v>
      </c>
      <c r="C724" s="38">
        <v>46019</v>
      </c>
      <c r="D724" s="53" t="s">
        <v>1790</v>
      </c>
    </row>
    <row r="725" spans="1:4" x14ac:dyDescent="0.25">
      <c r="A725" s="3">
        <f>SUBTOTAL(103,B$2:B725)*1</f>
        <v>724</v>
      </c>
      <c r="B725" s="47" t="s">
        <v>2474</v>
      </c>
      <c r="C725" s="38">
        <v>46019</v>
      </c>
      <c r="D725" s="38"/>
    </row>
    <row r="726" spans="1:4" x14ac:dyDescent="0.25">
      <c r="A726" s="3">
        <f>SUBTOTAL(103,B$2:B726)*1</f>
        <v>725</v>
      </c>
      <c r="B726" s="47" t="s">
        <v>2492</v>
      </c>
      <c r="C726" s="38">
        <v>46019</v>
      </c>
      <c r="D726" s="38"/>
    </row>
    <row r="727" spans="1:4" x14ac:dyDescent="0.25">
      <c r="A727" s="3">
        <f>SUBTOTAL(103,B$2:B727)*1</f>
        <v>726</v>
      </c>
      <c r="B727" s="47" t="s">
        <v>2494</v>
      </c>
      <c r="C727" s="38">
        <v>46019</v>
      </c>
      <c r="D727" s="38"/>
    </row>
    <row r="728" spans="1:4" x14ac:dyDescent="0.25">
      <c r="A728" s="3">
        <f>SUBTOTAL(103,B$2:B728)*1</f>
        <v>727</v>
      </c>
      <c r="B728" s="47" t="s">
        <v>2496</v>
      </c>
      <c r="C728" s="38">
        <v>46019</v>
      </c>
      <c r="D728" s="38"/>
    </row>
    <row r="729" spans="1:4" x14ac:dyDescent="0.25">
      <c r="A729" s="3">
        <f>SUBTOTAL(103,B$2:B729)*1</f>
        <v>728</v>
      </c>
      <c r="B729" s="47" t="s">
        <v>2498</v>
      </c>
      <c r="C729" s="38">
        <v>46019</v>
      </c>
      <c r="D729" s="38"/>
    </row>
    <row r="730" spans="1:4" x14ac:dyDescent="0.25">
      <c r="A730" s="3">
        <f>SUBTOTAL(103,B$2:B730)*1</f>
        <v>729</v>
      </c>
      <c r="B730" s="47" t="s">
        <v>2499</v>
      </c>
      <c r="C730" s="38">
        <v>46019</v>
      </c>
      <c r="D730" s="38"/>
    </row>
    <row r="731" spans="1:4" x14ac:dyDescent="0.25">
      <c r="A731" s="3">
        <f>SUBTOTAL(103,B$2:B731)*1</f>
        <v>730</v>
      </c>
      <c r="B731" s="47" t="s">
        <v>2491</v>
      </c>
      <c r="C731" s="38">
        <v>46019</v>
      </c>
      <c r="D731" s="38"/>
    </row>
    <row r="732" spans="1:4" x14ac:dyDescent="0.25">
      <c r="A732" s="3">
        <f>SUBTOTAL(103,B$2:B732)*1</f>
        <v>731</v>
      </c>
      <c r="B732" s="47" t="s">
        <v>2500</v>
      </c>
      <c r="C732" s="38">
        <v>46019</v>
      </c>
      <c r="D732" s="38"/>
    </row>
    <row r="733" spans="1:4" x14ac:dyDescent="0.25">
      <c r="A733" s="3">
        <f>SUBTOTAL(103,B$2:B733)*1</f>
        <v>732</v>
      </c>
      <c r="B733" s="47" t="s">
        <v>2475</v>
      </c>
      <c r="C733" s="38">
        <v>46019</v>
      </c>
      <c r="D733" s="53" t="s">
        <v>2502</v>
      </c>
    </row>
    <row r="734" spans="1:4" x14ac:dyDescent="0.25">
      <c r="A734" s="3">
        <f>SUBTOTAL(103,B$2:B734)*1</f>
        <v>733</v>
      </c>
      <c r="B734" s="47" t="s">
        <v>2506</v>
      </c>
      <c r="C734" s="38">
        <v>46019</v>
      </c>
      <c r="D734" s="53" t="s">
        <v>2502</v>
      </c>
    </row>
    <row r="735" spans="1:4" x14ac:dyDescent="0.25">
      <c r="A735" s="3">
        <f>SUBTOTAL(103,B$2:B735)*1</f>
        <v>734</v>
      </c>
      <c r="B735" s="47" t="s">
        <v>2512</v>
      </c>
      <c r="C735" s="38">
        <v>46025</v>
      </c>
      <c r="D735" s="38"/>
    </row>
    <row r="736" spans="1:4" x14ac:dyDescent="0.25">
      <c r="A736" s="3">
        <f>SUBTOTAL(103,B$2:B736)*1</f>
        <v>735</v>
      </c>
      <c r="B736" s="47" t="s">
        <v>2514</v>
      </c>
      <c r="C736" s="38">
        <v>46025</v>
      </c>
      <c r="D736" s="38"/>
    </row>
    <row r="737" spans="1:4" x14ac:dyDescent="0.25">
      <c r="A737" s="3">
        <f>SUBTOTAL(103,B$2:B737)*1</f>
        <v>736</v>
      </c>
      <c r="B737" s="47" t="s">
        <v>2515</v>
      </c>
      <c r="C737" s="38">
        <v>46025</v>
      </c>
      <c r="D737" s="38"/>
    </row>
    <row r="738" spans="1:4" x14ac:dyDescent="0.25">
      <c r="A738" s="3">
        <f>SUBTOTAL(103,B$2:B738)*1</f>
        <v>737</v>
      </c>
      <c r="B738" s="47" t="s">
        <v>2516</v>
      </c>
      <c r="C738" s="38">
        <v>46025</v>
      </c>
      <c r="D738" s="38"/>
    </row>
    <row r="739" spans="1:4" ht="28" x14ac:dyDescent="0.25">
      <c r="A739" s="3">
        <f>SUBTOTAL(103,B$2:B739)*1</f>
        <v>738</v>
      </c>
      <c r="B739" s="47" t="s">
        <v>2504</v>
      </c>
      <c r="C739" s="38">
        <v>46025</v>
      </c>
      <c r="D739" s="38"/>
    </row>
    <row r="740" spans="1:4" x14ac:dyDescent="0.25">
      <c r="A740" s="3">
        <f>SUBTOTAL(103,B$2:B740)*1</f>
        <v>739</v>
      </c>
      <c r="B740" s="47" t="s">
        <v>2505</v>
      </c>
      <c r="C740" s="38">
        <v>46025</v>
      </c>
      <c r="D740" s="38"/>
    </row>
    <row r="741" spans="1:4" x14ac:dyDescent="0.25">
      <c r="A741" s="3">
        <f>SUBTOTAL(103,B$2:B741)*1</f>
        <v>740</v>
      </c>
      <c r="B741" s="47" t="s">
        <v>2507</v>
      </c>
      <c r="C741" s="38">
        <v>46025</v>
      </c>
      <c r="D741" s="38"/>
    </row>
    <row r="742" spans="1:4" x14ac:dyDescent="0.25">
      <c r="A742" s="3">
        <f>SUBTOTAL(103,B$2:B742)*1</f>
        <v>741</v>
      </c>
      <c r="B742" s="47" t="s">
        <v>2517</v>
      </c>
      <c r="C742" s="38">
        <v>46025</v>
      </c>
      <c r="D742" s="38"/>
    </row>
    <row r="743" spans="1:4" x14ac:dyDescent="0.25">
      <c r="A743" s="3">
        <f>SUBTOTAL(103,B$2:B743)*1</f>
        <v>742</v>
      </c>
      <c r="B743" s="47" t="s">
        <v>2521</v>
      </c>
      <c r="C743" s="38">
        <v>46025</v>
      </c>
      <c r="D743" s="38"/>
    </row>
    <row r="744" spans="1:4" x14ac:dyDescent="0.25">
      <c r="A744" s="3">
        <f>SUBTOTAL(103,B$2:B744)*1</f>
        <v>743</v>
      </c>
      <c r="B744" s="47" t="s">
        <v>2522</v>
      </c>
      <c r="C744" s="38">
        <v>46025</v>
      </c>
      <c r="D744" s="38"/>
    </row>
    <row r="745" spans="1:4" x14ac:dyDescent="0.25">
      <c r="A745" s="3">
        <f>SUBTOTAL(103,B$2:B745)*1</f>
        <v>744</v>
      </c>
      <c r="B745" s="47" t="s">
        <v>2523</v>
      </c>
      <c r="C745" s="38">
        <v>46025</v>
      </c>
      <c r="D745" s="38"/>
    </row>
    <row r="746" spans="1:4" x14ac:dyDescent="0.25">
      <c r="A746" s="3">
        <f>SUBTOTAL(103,B$2:B746)*1</f>
        <v>745</v>
      </c>
      <c r="B746" s="47" t="s">
        <v>2536</v>
      </c>
      <c r="C746" s="38">
        <v>46033</v>
      </c>
      <c r="D746" s="38"/>
    </row>
    <row r="747" spans="1:4" x14ac:dyDescent="0.25">
      <c r="A747" s="3">
        <f>SUBTOTAL(103,B$2:B747)*1</f>
        <v>746</v>
      </c>
      <c r="B747" s="47" t="s">
        <v>2541</v>
      </c>
      <c r="C747" s="38">
        <v>46033</v>
      </c>
      <c r="D747" s="38"/>
    </row>
    <row r="748" spans="1:4" x14ac:dyDescent="0.25">
      <c r="A748" s="3">
        <f>SUBTOTAL(103,B$2:B748)*1</f>
        <v>747</v>
      </c>
      <c r="B748" s="47" t="s">
        <v>2530</v>
      </c>
      <c r="C748" s="38">
        <v>46033</v>
      </c>
      <c r="D748" s="53" t="s">
        <v>2502</v>
      </c>
    </row>
    <row r="749" spans="1:4" x14ac:dyDescent="0.25">
      <c r="A749" s="3">
        <f>SUBTOTAL(103,B$2:B749)*1</f>
        <v>748</v>
      </c>
      <c r="B749" s="47" t="s">
        <v>2546</v>
      </c>
      <c r="C749" s="38">
        <v>46033</v>
      </c>
      <c r="D749" s="38"/>
    </row>
    <row r="750" spans="1:4" x14ac:dyDescent="0.25">
      <c r="A750" s="3">
        <f>SUBTOTAL(103,B$2:B750)*1</f>
        <v>749</v>
      </c>
      <c r="B750" s="47" t="s">
        <v>2548</v>
      </c>
      <c r="C750" s="38">
        <v>46033</v>
      </c>
      <c r="D750" s="38"/>
    </row>
    <row r="751" spans="1:4" x14ac:dyDescent="0.25">
      <c r="A751" s="3">
        <f>SUBTOTAL(103,B$2:B751)*1</f>
        <v>750</v>
      </c>
      <c r="B751" s="47" t="s">
        <v>2550</v>
      </c>
      <c r="C751" s="38">
        <v>46033</v>
      </c>
      <c r="D751" s="38"/>
    </row>
    <row r="752" spans="1:4" x14ac:dyDescent="0.25">
      <c r="A752" s="3">
        <f>SUBTOTAL(103,B$2:B752)*1</f>
        <v>751</v>
      </c>
      <c r="B752" s="47" t="s">
        <v>2551</v>
      </c>
      <c r="C752" s="38">
        <v>46033</v>
      </c>
      <c r="D752" s="38"/>
    </row>
    <row r="753" spans="1:4" x14ac:dyDescent="0.25">
      <c r="A753" s="3">
        <f>SUBTOTAL(103,B$2:B753)*1</f>
        <v>752</v>
      </c>
      <c r="B753" s="47" t="s">
        <v>2553</v>
      </c>
      <c r="C753" s="38">
        <v>46033</v>
      </c>
      <c r="D753" s="38"/>
    </row>
    <row r="754" spans="1:4" x14ac:dyDescent="0.25">
      <c r="A754" s="3">
        <f>SUBTOTAL(103,B$2:B754)*1</f>
        <v>753</v>
      </c>
      <c r="B754" s="47" t="s">
        <v>2555</v>
      </c>
      <c r="C754" s="38">
        <v>46033</v>
      </c>
      <c r="D754" s="38"/>
    </row>
    <row r="755" spans="1:4" x14ac:dyDescent="0.25">
      <c r="A755" s="3">
        <f>SUBTOTAL(103,B$2:B755)*1</f>
        <v>754</v>
      </c>
      <c r="B755" s="47" t="s">
        <v>2556</v>
      </c>
      <c r="C755" s="38">
        <v>46033</v>
      </c>
      <c r="D755" s="38"/>
    </row>
    <row r="756" spans="1:4" x14ac:dyDescent="0.25">
      <c r="A756" s="3">
        <f>SUBTOTAL(103,B$2:B756)*1</f>
        <v>755</v>
      </c>
      <c r="B756" s="47" t="s">
        <v>2557</v>
      </c>
      <c r="C756" s="38">
        <v>46033</v>
      </c>
      <c r="D756" s="38"/>
    </row>
    <row r="757" spans="1:4" x14ac:dyDescent="0.25">
      <c r="A757" s="3">
        <f>SUBTOTAL(103,B$2:B757)*1</f>
        <v>756</v>
      </c>
      <c r="B757" s="47" t="s">
        <v>2531</v>
      </c>
      <c r="C757" s="38">
        <v>46033</v>
      </c>
      <c r="D757" s="53" t="s">
        <v>2558</v>
      </c>
    </row>
    <row r="758" spans="1:4" ht="28" x14ac:dyDescent="0.25">
      <c r="A758" s="3">
        <f>SUBTOTAL(103,B$2:B758)*1</f>
        <v>757</v>
      </c>
      <c r="B758" s="47" t="s">
        <v>2532</v>
      </c>
      <c r="C758" s="38">
        <v>46033</v>
      </c>
      <c r="D758" s="53" t="s">
        <v>2558</v>
      </c>
    </row>
    <row r="759" spans="1:4" ht="28" x14ac:dyDescent="0.25">
      <c r="A759" s="3">
        <f>SUBTOTAL(103,B$2:B759)*1</f>
        <v>758</v>
      </c>
      <c r="B759" s="47" t="s">
        <v>2533</v>
      </c>
      <c r="C759" s="38">
        <v>46033</v>
      </c>
      <c r="D759" s="53" t="s">
        <v>2558</v>
      </c>
    </row>
    <row r="760" spans="1:4" x14ac:dyDescent="0.25">
      <c r="A760" s="3">
        <f>SUBTOTAL(103,B$2:B760)*1</f>
        <v>759</v>
      </c>
      <c r="B760" s="47" t="s">
        <v>2559</v>
      </c>
      <c r="C760" s="38">
        <v>46033</v>
      </c>
      <c r="D760" s="38"/>
    </row>
    <row r="761" spans="1:4" x14ac:dyDescent="0.25">
      <c r="A761" s="3">
        <f>SUBTOTAL(103,B$2:B761)*1</f>
        <v>760</v>
      </c>
      <c r="B761" s="47" t="s">
        <v>2560</v>
      </c>
      <c r="C761" s="38">
        <v>46033</v>
      </c>
      <c r="D761" s="38"/>
    </row>
    <row r="762" spans="1:4" x14ac:dyDescent="0.25">
      <c r="A762" s="3">
        <f>SUBTOTAL(103,B$2:B762)*1</f>
        <v>761</v>
      </c>
      <c r="B762" s="47" t="s">
        <v>2564</v>
      </c>
      <c r="C762" s="38">
        <v>46033</v>
      </c>
      <c r="D762" s="38"/>
    </row>
    <row r="763" spans="1:4" x14ac:dyDescent="0.25">
      <c r="A763" s="3">
        <f>SUBTOTAL(103,B$2:B763)*1</f>
        <v>762</v>
      </c>
      <c r="B763" s="47" t="s">
        <v>2568</v>
      </c>
      <c r="C763" s="38">
        <v>46033</v>
      </c>
      <c r="D763" s="38"/>
    </row>
    <row r="764" spans="1:4" x14ac:dyDescent="0.25">
      <c r="A764" s="3">
        <f>SUBTOTAL(103,B$2:B764)*1</f>
        <v>763</v>
      </c>
      <c r="B764" s="47" t="s">
        <v>2570</v>
      </c>
      <c r="C764" s="38">
        <v>46033</v>
      </c>
      <c r="D764" s="38"/>
    </row>
    <row r="765" spans="1:4" x14ac:dyDescent="0.25">
      <c r="A765" s="3">
        <f>SUBTOTAL(103,B$2:B765)*1</f>
        <v>764</v>
      </c>
      <c r="B765" s="47" t="s">
        <v>2572</v>
      </c>
      <c r="C765" s="38">
        <v>46033</v>
      </c>
      <c r="D765" s="38"/>
    </row>
    <row r="766" spans="1:4" ht="28" x14ac:dyDescent="0.25">
      <c r="A766" s="3">
        <f>SUBTOTAL(103,B$2:B766)*1</f>
        <v>765</v>
      </c>
      <c r="B766" s="47" t="s">
        <v>2534</v>
      </c>
      <c r="C766" s="38">
        <v>46033</v>
      </c>
      <c r="D766" s="38"/>
    </row>
    <row r="767" spans="1:4" x14ac:dyDescent="0.25">
      <c r="A767" s="3">
        <f>SUBTOTAL(103,B$2:B767)*1</f>
        <v>766</v>
      </c>
      <c r="B767" s="47" t="s">
        <v>2573</v>
      </c>
      <c r="C767" s="38">
        <v>46033</v>
      </c>
      <c r="D767" s="38"/>
    </row>
    <row r="768" spans="1:4" x14ac:dyDescent="0.25">
      <c r="A768" s="3">
        <f>SUBTOTAL(103,B$2:B768)*1</f>
        <v>767</v>
      </c>
      <c r="B768" s="47" t="s">
        <v>2575</v>
      </c>
      <c r="C768" s="38">
        <v>46033</v>
      </c>
      <c r="D768" s="38"/>
    </row>
    <row r="769" spans="1:4" x14ac:dyDescent="0.25">
      <c r="A769" s="3">
        <f>SUBTOTAL(103,B$2:B769)*1</f>
        <v>768</v>
      </c>
      <c r="B769" s="47" t="s">
        <v>2584</v>
      </c>
      <c r="C769" s="38">
        <v>46040</v>
      </c>
      <c r="D769" s="38"/>
    </row>
    <row r="770" spans="1:4" x14ac:dyDescent="0.25">
      <c r="A770" s="3">
        <f>SUBTOTAL(103,B$2:B770)*1</f>
        <v>769</v>
      </c>
      <c r="B770" s="47" t="s">
        <v>2590</v>
      </c>
      <c r="C770" s="38">
        <v>46040</v>
      </c>
      <c r="D770" s="38"/>
    </row>
    <row r="771" spans="1:4" x14ac:dyDescent="0.25">
      <c r="A771" s="3">
        <f>SUBTOTAL(103,B$2:B771)*1</f>
        <v>770</v>
      </c>
      <c r="B771" s="47" t="s">
        <v>2591</v>
      </c>
      <c r="C771" s="38">
        <v>46040</v>
      </c>
      <c r="D771" s="38"/>
    </row>
    <row r="772" spans="1:4" x14ac:dyDescent="0.25">
      <c r="A772" s="3">
        <f>SUBTOTAL(103,B$2:B772)*1</f>
        <v>771</v>
      </c>
      <c r="B772" s="47" t="s">
        <v>2592</v>
      </c>
      <c r="C772" s="38">
        <v>46040</v>
      </c>
      <c r="D772" s="38"/>
    </row>
    <row r="773" spans="1:4" x14ac:dyDescent="0.25">
      <c r="A773" s="3">
        <f>SUBTOTAL(103,B$2:B773)*1</f>
        <v>772</v>
      </c>
      <c r="B773" s="47" t="s">
        <v>2583</v>
      </c>
      <c r="C773" s="38">
        <v>46040</v>
      </c>
      <c r="D773" s="38"/>
    </row>
    <row r="774" spans="1:4" x14ac:dyDescent="0.25">
      <c r="A774" s="3">
        <f>SUBTOTAL(103,B$2:B774)*1</f>
        <v>773</v>
      </c>
      <c r="B774" s="47" t="s">
        <v>2609</v>
      </c>
      <c r="C774" s="38">
        <v>46040</v>
      </c>
      <c r="D774" s="38"/>
    </row>
    <row r="775" spans="1:4" x14ac:dyDescent="0.25">
      <c r="A775" s="3">
        <f>SUBTOTAL(103,B$2:B775)*1</f>
        <v>774</v>
      </c>
      <c r="B775" s="47" t="s">
        <v>2610</v>
      </c>
      <c r="C775" s="38">
        <v>46040</v>
      </c>
      <c r="D775" s="38"/>
    </row>
    <row r="776" spans="1:4" x14ac:dyDescent="0.25">
      <c r="A776" s="3">
        <f>SUBTOTAL(103,B$2:B776)*1</f>
        <v>775</v>
      </c>
      <c r="B776" s="47" t="s">
        <v>2611</v>
      </c>
      <c r="C776" s="38">
        <v>46040</v>
      </c>
      <c r="D776" s="38"/>
    </row>
    <row r="777" spans="1:4" ht="28" x14ac:dyDescent="0.25">
      <c r="A777" s="3">
        <f>SUBTOTAL(103,B$2:B777)*1</f>
        <v>776</v>
      </c>
      <c r="B777" s="47" t="s">
        <v>2612</v>
      </c>
      <c r="C777" s="38">
        <v>46040</v>
      </c>
      <c r="D777" s="38"/>
    </row>
    <row r="778" spans="1:4" x14ac:dyDescent="0.25">
      <c r="A778" s="3">
        <f>SUBTOTAL(103,B$2:B778)*1</f>
        <v>777</v>
      </c>
      <c r="B778" s="47" t="s">
        <v>2613</v>
      </c>
      <c r="C778" s="38">
        <v>46040</v>
      </c>
      <c r="D778" s="38"/>
    </row>
    <row r="779" spans="1:4" x14ac:dyDescent="0.25">
      <c r="A779" s="3">
        <f>SUBTOTAL(103,B$2:B779)*1</f>
        <v>778</v>
      </c>
      <c r="B779" s="47" t="s">
        <v>2616</v>
      </c>
      <c r="C779" s="38">
        <v>46040</v>
      </c>
      <c r="D779" s="38"/>
    </row>
    <row r="780" spans="1:4" x14ac:dyDescent="0.25">
      <c r="A780" s="3">
        <f>SUBTOTAL(103,B$2:B780)*1</f>
        <v>779</v>
      </c>
      <c r="B780" s="47" t="s">
        <v>2621</v>
      </c>
      <c r="C780" s="38">
        <v>46040</v>
      </c>
      <c r="D780" s="38"/>
    </row>
    <row r="781" spans="1:4" x14ac:dyDescent="0.25">
      <c r="A781" s="3">
        <f>SUBTOTAL(103,B$2:B781)*1</f>
        <v>780</v>
      </c>
      <c r="B781" s="47" t="s">
        <v>2626</v>
      </c>
      <c r="C781" s="38">
        <v>46040</v>
      </c>
      <c r="D781" s="38"/>
    </row>
    <row r="782" spans="1:4" x14ac:dyDescent="0.25">
      <c r="A782" s="3">
        <f>SUBTOTAL(103,B$2:B782)*1</f>
        <v>781</v>
      </c>
      <c r="B782" s="47" t="s">
        <v>2629</v>
      </c>
      <c r="C782" s="38">
        <v>46040</v>
      </c>
      <c r="D782" s="38"/>
    </row>
    <row r="783" spans="1:4" x14ac:dyDescent="0.25">
      <c r="A783" s="3">
        <f>SUBTOTAL(103,B$2:B783)*1</f>
        <v>782</v>
      </c>
      <c r="B783" s="47" t="s">
        <v>2633</v>
      </c>
      <c r="C783" s="38">
        <v>46040</v>
      </c>
      <c r="D783" s="38"/>
    </row>
    <row r="784" spans="1:4" x14ac:dyDescent="0.25">
      <c r="A784" s="3">
        <f>SUBTOTAL(103,B$2:B784)*1</f>
        <v>783</v>
      </c>
      <c r="B784" s="47" t="s">
        <v>2634</v>
      </c>
      <c r="C784" s="38">
        <v>46040</v>
      </c>
      <c r="D784" s="38"/>
    </row>
    <row r="785" spans="1:4" x14ac:dyDescent="0.25">
      <c r="A785" s="3">
        <f>SUBTOTAL(103,B$2:B785)*1</f>
        <v>784</v>
      </c>
      <c r="B785" s="47" t="s">
        <v>2635</v>
      </c>
      <c r="C785" s="38">
        <v>46040</v>
      </c>
      <c r="D785" s="38"/>
    </row>
    <row r="786" spans="1:4" x14ac:dyDescent="0.25">
      <c r="A786" s="3">
        <f>SUBTOTAL(103,B$2:B786)*1</f>
        <v>785</v>
      </c>
      <c r="B786" s="47" t="s">
        <v>2639</v>
      </c>
      <c r="C786" s="38">
        <v>46040</v>
      </c>
      <c r="D786" s="38"/>
    </row>
    <row r="787" spans="1:4" x14ac:dyDescent="0.25">
      <c r="A787" s="3">
        <f>SUBTOTAL(103,B$2:B787)*1</f>
        <v>786</v>
      </c>
      <c r="B787" s="47" t="s">
        <v>2642</v>
      </c>
      <c r="C787" s="38">
        <v>46040</v>
      </c>
      <c r="D787" s="38"/>
    </row>
    <row r="788" spans="1:4" x14ac:dyDescent="0.25">
      <c r="A788" s="3">
        <f>SUBTOTAL(103,B$2:B788)*1</f>
        <v>787</v>
      </c>
      <c r="B788" s="47" t="s">
        <v>2644</v>
      </c>
      <c r="C788" s="38">
        <v>46040</v>
      </c>
      <c r="D788" s="38"/>
    </row>
    <row r="789" spans="1:4" x14ac:dyDescent="0.25">
      <c r="A789" s="3">
        <f>SUBTOTAL(103,B$2:B789)*1</f>
        <v>788</v>
      </c>
      <c r="B789" s="47" t="s">
        <v>2646</v>
      </c>
      <c r="C789" s="38">
        <v>46040</v>
      </c>
      <c r="D789" s="38"/>
    </row>
    <row r="790" spans="1:4" x14ac:dyDescent="0.25">
      <c r="A790" s="3">
        <f>SUBTOTAL(103,B$2:B790)*1</f>
        <v>789</v>
      </c>
      <c r="B790" s="47" t="s">
        <v>2648</v>
      </c>
      <c r="C790" s="38">
        <v>46040</v>
      </c>
      <c r="D790" s="38"/>
    </row>
    <row r="791" spans="1:4" x14ac:dyDescent="0.25">
      <c r="A791" s="3">
        <f>SUBTOTAL(103,B$2:B791)*1</f>
        <v>790</v>
      </c>
      <c r="B791" s="47" t="s">
        <v>2650</v>
      </c>
      <c r="C791" s="38">
        <v>46040</v>
      </c>
      <c r="D791" s="38"/>
    </row>
    <row r="792" spans="1:4" x14ac:dyDescent="0.25">
      <c r="A792" s="3">
        <f>SUBTOTAL(103,B$2:B792)*1</f>
        <v>791</v>
      </c>
      <c r="B792" s="47" t="s">
        <v>2653</v>
      </c>
      <c r="C792" s="38">
        <v>46047</v>
      </c>
      <c r="D792" s="38"/>
    </row>
    <row r="793" spans="1:4" x14ac:dyDescent="0.25">
      <c r="A793" s="3">
        <f>SUBTOTAL(103,B$2:B793)*1</f>
        <v>792</v>
      </c>
      <c r="B793" s="47" t="s">
        <v>2654</v>
      </c>
      <c r="C793" s="38">
        <v>46047</v>
      </c>
      <c r="D793" s="38"/>
    </row>
    <row r="794" spans="1:4" x14ac:dyDescent="0.25">
      <c r="A794" s="3">
        <f>SUBTOTAL(103,B$2:B794)*1</f>
        <v>793</v>
      </c>
      <c r="B794" s="47" t="s">
        <v>2655</v>
      </c>
      <c r="C794" s="38">
        <v>46047</v>
      </c>
      <c r="D794" s="38"/>
    </row>
    <row r="795" spans="1:4" x14ac:dyDescent="0.25">
      <c r="A795" s="3">
        <f>SUBTOTAL(103,B$2:B795)*1</f>
        <v>794</v>
      </c>
      <c r="B795" s="47" t="s">
        <v>2657</v>
      </c>
      <c r="C795" s="38">
        <v>46047</v>
      </c>
      <c r="D795" s="38"/>
    </row>
    <row r="796" spans="1:4" x14ac:dyDescent="0.25">
      <c r="A796" s="3">
        <f>SUBTOTAL(103,B$2:B796)*1</f>
        <v>795</v>
      </c>
      <c r="B796" s="47" t="s">
        <v>2658</v>
      </c>
      <c r="C796" s="38">
        <v>46047</v>
      </c>
      <c r="D796" s="38"/>
    </row>
    <row r="797" spans="1:4" x14ac:dyDescent="0.25">
      <c r="A797" s="3">
        <f>SUBTOTAL(103,B$2:B797)*1</f>
        <v>796</v>
      </c>
      <c r="B797" s="47" t="s">
        <v>2661</v>
      </c>
      <c r="C797" s="38">
        <v>46047</v>
      </c>
      <c r="D797" s="38"/>
    </row>
    <row r="798" spans="1:4" x14ac:dyDescent="0.25">
      <c r="A798" s="3">
        <f>SUBTOTAL(103,B$2:B798)*1</f>
        <v>797</v>
      </c>
      <c r="B798" s="47" t="s">
        <v>2662</v>
      </c>
      <c r="C798" s="38">
        <v>46047</v>
      </c>
      <c r="D798" s="38"/>
    </row>
    <row r="799" spans="1:4" x14ac:dyDescent="0.25">
      <c r="A799" s="3">
        <f>SUBTOTAL(103,B$2:B799)*1</f>
        <v>798</v>
      </c>
      <c r="B799" s="47" t="s">
        <v>2664</v>
      </c>
      <c r="C799" s="38">
        <v>46047</v>
      </c>
      <c r="D799" s="38"/>
    </row>
    <row r="800" spans="1:4" x14ac:dyDescent="0.25">
      <c r="A800" s="3">
        <f>SUBTOTAL(103,B$2:B800)*1</f>
        <v>799</v>
      </c>
      <c r="B800" s="47" t="s">
        <v>2666</v>
      </c>
      <c r="C800" s="38">
        <v>46047</v>
      </c>
      <c r="D800" s="38"/>
    </row>
    <row r="801" spans="1:4" ht="28" x14ac:dyDescent="0.25">
      <c r="A801" s="3">
        <f>SUBTOTAL(103,B$2:B801)*1</f>
        <v>800</v>
      </c>
      <c r="B801" s="47" t="s">
        <v>2674</v>
      </c>
      <c r="C801" s="38">
        <v>46047</v>
      </c>
      <c r="D801" s="38"/>
    </row>
    <row r="802" spans="1:4" x14ac:dyDescent="0.25">
      <c r="A802" s="3">
        <f>SUBTOTAL(103,B$2:B802)*1</f>
        <v>801</v>
      </c>
      <c r="B802" s="47" t="s">
        <v>2675</v>
      </c>
      <c r="C802" s="38">
        <v>46047</v>
      </c>
      <c r="D802" s="38"/>
    </row>
    <row r="803" spans="1:4" x14ac:dyDescent="0.25">
      <c r="A803" s="3">
        <f>SUBTOTAL(103,B$2:B803)*1</f>
        <v>802</v>
      </c>
      <c r="B803" s="47" t="s">
        <v>2680</v>
      </c>
      <c r="C803" s="38">
        <v>46047</v>
      </c>
      <c r="D803" s="38"/>
    </row>
    <row r="804" spans="1:4" x14ac:dyDescent="0.25">
      <c r="A804" s="3">
        <f>SUBTOTAL(103,B$2:B804)*1</f>
        <v>803</v>
      </c>
      <c r="B804" s="47" t="s">
        <v>2684</v>
      </c>
      <c r="C804" s="38">
        <v>46047</v>
      </c>
      <c r="D804" s="38"/>
    </row>
    <row r="805" spans="1:4" x14ac:dyDescent="0.25">
      <c r="A805" s="3">
        <f>SUBTOTAL(103,B$2:B805)*1</f>
        <v>804</v>
      </c>
      <c r="B805" s="47" t="s">
        <v>2686</v>
      </c>
      <c r="C805" s="38">
        <v>46047</v>
      </c>
      <c r="D805" s="38"/>
    </row>
    <row r="806" spans="1:4" x14ac:dyDescent="0.25">
      <c r="A806" s="3">
        <f>SUBTOTAL(103,B$2:B806)*1</f>
        <v>805</v>
      </c>
      <c r="B806" s="47" t="s">
        <v>2692</v>
      </c>
      <c r="C806" s="38">
        <v>46047</v>
      </c>
      <c r="D806" s="38"/>
    </row>
    <row r="807" spans="1:4" x14ac:dyDescent="0.25">
      <c r="A807" s="3">
        <f>SUBTOTAL(103,B$2:B807)*1</f>
        <v>806</v>
      </c>
      <c r="B807" s="47" t="s">
        <v>2695</v>
      </c>
      <c r="C807" s="38">
        <v>46047</v>
      </c>
      <c r="D807" s="38"/>
    </row>
    <row r="808" spans="1:4" x14ac:dyDescent="0.25">
      <c r="A808" s="3">
        <f>SUBTOTAL(103,B$2:B808)*1</f>
        <v>807</v>
      </c>
      <c r="B808" s="47" t="s">
        <v>2652</v>
      </c>
      <c r="C808" s="38">
        <v>46047</v>
      </c>
      <c r="D808" s="38"/>
    </row>
    <row r="809" spans="1:4" x14ac:dyDescent="0.25">
      <c r="A809" s="3">
        <f>SUBTOTAL(103,B$2:B809)*1</f>
        <v>808</v>
      </c>
      <c r="B809" s="47" t="s">
        <v>2700</v>
      </c>
      <c r="C809" s="38">
        <v>46047</v>
      </c>
      <c r="D809" s="38"/>
    </row>
    <row r="810" spans="1:4" x14ac:dyDescent="0.25">
      <c r="A810" s="3">
        <f>SUBTOTAL(103,B$2:B810)*1</f>
        <v>809</v>
      </c>
      <c r="B810" s="47" t="s">
        <v>2702</v>
      </c>
      <c r="C810" s="38">
        <v>46047</v>
      </c>
      <c r="D810" s="38"/>
    </row>
    <row r="811" spans="1:4" x14ac:dyDescent="0.25">
      <c r="A811" s="3">
        <f>SUBTOTAL(103,B$2:B811)*1</f>
        <v>810</v>
      </c>
      <c r="B811" s="47" t="s">
        <v>2706</v>
      </c>
      <c r="C811" s="38">
        <v>46054</v>
      </c>
      <c r="D811" s="38"/>
    </row>
    <row r="812" spans="1:4" x14ac:dyDescent="0.25">
      <c r="A812" s="3">
        <f>SUBTOTAL(103,B$2:B812)*1</f>
        <v>811</v>
      </c>
      <c r="B812" s="47" t="s">
        <v>2704</v>
      </c>
      <c r="C812" s="38">
        <v>46054</v>
      </c>
      <c r="D812" s="38"/>
    </row>
    <row r="813" spans="1:4" x14ac:dyDescent="0.25">
      <c r="A813" s="3">
        <f>SUBTOTAL(103,B$2:B813)*1</f>
        <v>812</v>
      </c>
      <c r="B813" s="47" t="s">
        <v>2707</v>
      </c>
      <c r="C813" s="38">
        <v>46054</v>
      </c>
      <c r="D813" s="38"/>
    </row>
    <row r="814" spans="1:4" x14ac:dyDescent="0.25">
      <c r="A814" s="3">
        <f>SUBTOTAL(103,B$2:B814)*1</f>
        <v>813</v>
      </c>
      <c r="B814" s="47" t="s">
        <v>2708</v>
      </c>
      <c r="C814" s="38">
        <v>46054</v>
      </c>
      <c r="D814" s="38"/>
    </row>
    <row r="815" spans="1:4" x14ac:dyDescent="0.25">
      <c r="A815" s="3">
        <f>SUBTOTAL(103,B$2:B815)*1</f>
        <v>814</v>
      </c>
      <c r="B815" s="47" t="s">
        <v>2711</v>
      </c>
      <c r="C815" s="38">
        <v>46054</v>
      </c>
      <c r="D815" s="38"/>
    </row>
    <row r="816" spans="1:4" x14ac:dyDescent="0.25">
      <c r="A816" s="3">
        <f>SUBTOTAL(103,B$2:B816)*1</f>
        <v>815</v>
      </c>
      <c r="B816" s="47" t="s">
        <v>2712</v>
      </c>
      <c r="C816" s="38">
        <v>46054</v>
      </c>
      <c r="D816" s="38"/>
    </row>
    <row r="817" spans="1:4" x14ac:dyDescent="0.25">
      <c r="A817" s="3">
        <f>SUBTOTAL(103,B$2:B817)*1</f>
        <v>816</v>
      </c>
      <c r="B817" s="47" t="s">
        <v>2705</v>
      </c>
      <c r="C817" s="38">
        <v>46054</v>
      </c>
      <c r="D817" s="38"/>
    </row>
    <row r="818" spans="1:4" x14ac:dyDescent="0.25">
      <c r="A818" s="3">
        <f>SUBTOTAL(103,B$2:B818)*1</f>
        <v>817</v>
      </c>
      <c r="B818" s="47" t="s">
        <v>2714</v>
      </c>
      <c r="C818" s="38">
        <v>46054</v>
      </c>
      <c r="D818" s="38"/>
    </row>
    <row r="819" spans="1:4" x14ac:dyDescent="0.25">
      <c r="A819" s="3">
        <f>SUBTOTAL(103,B$2:B819)*1</f>
        <v>818</v>
      </c>
      <c r="B819" s="47" t="s">
        <v>2723</v>
      </c>
      <c r="C819" s="38">
        <v>46054</v>
      </c>
      <c r="D819" s="38"/>
    </row>
    <row r="820" spans="1:4" x14ac:dyDescent="0.25">
      <c r="A820" s="3">
        <f>SUBTOTAL(103,B$2:B820)*1</f>
        <v>819</v>
      </c>
      <c r="B820" s="47" t="s">
        <v>2727</v>
      </c>
      <c r="C820" s="38">
        <v>46054</v>
      </c>
      <c r="D820" s="38"/>
    </row>
    <row r="821" spans="1:4" x14ac:dyDescent="0.25">
      <c r="A821" s="3">
        <f>SUBTOTAL(103,B$2:B821)*1</f>
        <v>820</v>
      </c>
      <c r="B821" s="47" t="s">
        <v>2732</v>
      </c>
      <c r="C821" s="38">
        <v>46054</v>
      </c>
      <c r="D821" s="38"/>
    </row>
    <row r="822" spans="1:4" x14ac:dyDescent="0.25">
      <c r="A822" s="3">
        <f>SUBTOTAL(103,B$2:B822)*1</f>
        <v>821</v>
      </c>
      <c r="B822" s="47" t="s">
        <v>2734</v>
      </c>
      <c r="C822" s="38">
        <v>46054</v>
      </c>
      <c r="D822" s="38"/>
    </row>
    <row r="823" spans="1:4" x14ac:dyDescent="0.25">
      <c r="A823" s="3">
        <f>SUBTOTAL(103,B$2:B823)*1</f>
        <v>822</v>
      </c>
      <c r="B823" s="47" t="s">
        <v>2735</v>
      </c>
      <c r="C823" s="38">
        <v>46054</v>
      </c>
      <c r="D823" s="38"/>
    </row>
    <row r="824" spans="1:4" x14ac:dyDescent="0.25">
      <c r="A824" s="3">
        <f>SUBTOTAL(103,B$2:B824)*1</f>
        <v>823</v>
      </c>
      <c r="B824" s="47" t="s">
        <v>2736</v>
      </c>
      <c r="C824" s="38">
        <v>46054</v>
      </c>
      <c r="D824" s="38"/>
    </row>
    <row r="825" spans="1:4" x14ac:dyDescent="0.25">
      <c r="A825" s="3">
        <f>SUBTOTAL(103,B$2:B825)*1</f>
        <v>824</v>
      </c>
      <c r="B825" s="47" t="s">
        <v>2738</v>
      </c>
      <c r="C825" s="38">
        <v>46054</v>
      </c>
      <c r="D825" s="38"/>
    </row>
    <row r="826" spans="1:4" x14ac:dyDescent="0.25">
      <c r="A826" s="3">
        <f>SUBTOTAL(103,B$2:B826)*1</f>
        <v>825</v>
      </c>
      <c r="B826" s="47" t="s">
        <v>2741</v>
      </c>
      <c r="C826" s="38">
        <v>46054</v>
      </c>
      <c r="D826" s="38"/>
    </row>
    <row r="827" spans="1:4" x14ac:dyDescent="0.25">
      <c r="A827" s="3">
        <f>SUBTOTAL(103,B$2:B827)*1</f>
        <v>826</v>
      </c>
      <c r="B827" s="47" t="s">
        <v>2745</v>
      </c>
      <c r="C827" s="38">
        <v>46054</v>
      </c>
      <c r="D827" s="38"/>
    </row>
    <row r="828" spans="1:4" x14ac:dyDescent="0.25">
      <c r="A828" s="3">
        <f>SUBTOTAL(103,B$2:B828)*1</f>
        <v>827</v>
      </c>
      <c r="B828" s="47" t="s">
        <v>2748</v>
      </c>
      <c r="C828" s="38">
        <v>46061</v>
      </c>
      <c r="D828" s="38"/>
    </row>
    <row r="829" spans="1:4" x14ac:dyDescent="0.25">
      <c r="A829" s="3">
        <f>SUBTOTAL(103,B$2:B829)*1</f>
        <v>828</v>
      </c>
      <c r="B829" s="47" t="s">
        <v>2749</v>
      </c>
      <c r="C829" s="38">
        <v>46061</v>
      </c>
      <c r="D829" s="38"/>
    </row>
    <row r="830" spans="1:4" x14ac:dyDescent="0.25">
      <c r="A830" s="3">
        <f>SUBTOTAL(103,B$2:B830)*1</f>
        <v>829</v>
      </c>
      <c r="B830" s="47" t="s">
        <v>2750</v>
      </c>
      <c r="C830" s="38">
        <v>46061</v>
      </c>
      <c r="D830" s="38"/>
    </row>
    <row r="831" spans="1:4" x14ac:dyDescent="0.25">
      <c r="A831" s="3">
        <f>SUBTOTAL(103,B$2:B831)*1</f>
        <v>830</v>
      </c>
      <c r="B831" s="47" t="s">
        <v>2751</v>
      </c>
      <c r="C831" s="38">
        <v>46061</v>
      </c>
      <c r="D831" s="38"/>
    </row>
    <row r="832" spans="1:4" x14ac:dyDescent="0.25">
      <c r="A832" s="3">
        <f>SUBTOTAL(103,B$2:B832)*1</f>
        <v>831</v>
      </c>
      <c r="B832" s="47" t="s">
        <v>2752</v>
      </c>
      <c r="C832" s="38">
        <v>46061</v>
      </c>
      <c r="D832" s="38"/>
    </row>
    <row r="833" spans="1:4" x14ac:dyDescent="0.25">
      <c r="A833" s="3">
        <f>SUBTOTAL(103,B$2:B833)*1</f>
        <v>832</v>
      </c>
      <c r="B833" s="47" t="s">
        <v>2747</v>
      </c>
      <c r="C833" s="38">
        <v>46061</v>
      </c>
      <c r="D833" s="38"/>
    </row>
    <row r="834" spans="1:4" x14ac:dyDescent="0.25">
      <c r="A834" s="3">
        <f>SUBTOTAL(103,B$2:B834)*1</f>
        <v>833</v>
      </c>
      <c r="B834" s="47" t="s">
        <v>2754</v>
      </c>
      <c r="C834" s="38">
        <v>46061</v>
      </c>
      <c r="D834" s="38"/>
    </row>
    <row r="835" spans="1:4" x14ac:dyDescent="0.25">
      <c r="A835" s="3">
        <f>SUBTOTAL(103,B$2:B835)*1</f>
        <v>834</v>
      </c>
      <c r="B835" s="47" t="s">
        <v>2766</v>
      </c>
      <c r="C835" s="38">
        <v>46061</v>
      </c>
      <c r="D835" s="38"/>
    </row>
    <row r="836" spans="1:4" x14ac:dyDescent="0.25">
      <c r="A836" s="3">
        <f>SUBTOTAL(103,B$2:B836)*1</f>
        <v>835</v>
      </c>
      <c r="B836" s="47" t="s">
        <v>2767</v>
      </c>
      <c r="C836" s="38">
        <v>46061</v>
      </c>
      <c r="D836" s="38"/>
    </row>
    <row r="837" spans="1:4" x14ac:dyDescent="0.25">
      <c r="A837" s="3">
        <f>SUBTOTAL(103,B$2:B837)*1</f>
        <v>836</v>
      </c>
      <c r="B837" s="47" t="s">
        <v>2772</v>
      </c>
      <c r="C837" s="38">
        <v>46061</v>
      </c>
      <c r="D837" s="38"/>
    </row>
    <row r="838" spans="1:4" x14ac:dyDescent="0.25">
      <c r="A838" s="3">
        <f>SUBTOTAL(103,B$2:B838)*1</f>
        <v>837</v>
      </c>
      <c r="B838" s="47" t="s">
        <v>2773</v>
      </c>
      <c r="C838" s="38">
        <v>46061</v>
      </c>
      <c r="D838" s="38"/>
    </row>
    <row r="839" spans="1:4" x14ac:dyDescent="0.25">
      <c r="A839" s="3">
        <f>SUBTOTAL(103,B$2:B839)*1</f>
        <v>838</v>
      </c>
      <c r="B839" s="47" t="s">
        <v>2774</v>
      </c>
      <c r="C839" s="38">
        <v>46061</v>
      </c>
      <c r="D839" s="38"/>
    </row>
    <row r="840" spans="1:4" x14ac:dyDescent="0.25">
      <c r="A840" s="3">
        <f>SUBTOTAL(103,B$2:B840)*1</f>
        <v>839</v>
      </c>
      <c r="B840" s="47" t="s">
        <v>2780</v>
      </c>
      <c r="C840" s="38">
        <v>46061</v>
      </c>
      <c r="D840" s="38"/>
    </row>
    <row r="841" spans="1:4" x14ac:dyDescent="0.25">
      <c r="A841" s="3">
        <f>SUBTOTAL(103,B$2:B841)*1</f>
        <v>840</v>
      </c>
      <c r="B841" s="47" t="s">
        <v>2781</v>
      </c>
      <c r="C841" s="38">
        <v>46061</v>
      </c>
      <c r="D841" s="38"/>
    </row>
    <row r="842" spans="1:4" x14ac:dyDescent="0.25">
      <c r="A842" s="3">
        <f>SUBTOTAL(103,B$2:B842)*1</f>
        <v>841</v>
      </c>
      <c r="B842" s="47" t="s">
        <v>2783</v>
      </c>
      <c r="C842" s="38">
        <v>46077</v>
      </c>
      <c r="D842" s="38"/>
    </row>
    <row r="843" spans="1:4" x14ac:dyDescent="0.25">
      <c r="A843" s="3">
        <f>SUBTOTAL(103,B$2:B843)*1</f>
        <v>842</v>
      </c>
      <c r="B843" s="47" t="s">
        <v>2784</v>
      </c>
      <c r="C843" s="38">
        <v>46077</v>
      </c>
      <c r="D843" s="38"/>
    </row>
    <row r="844" spans="1:4" x14ac:dyDescent="0.25">
      <c r="A844" s="3">
        <f>SUBTOTAL(103,B$2:B844)*1</f>
        <v>843</v>
      </c>
      <c r="B844" s="47" t="s">
        <v>2785</v>
      </c>
      <c r="C844" s="38">
        <v>46077</v>
      </c>
      <c r="D844" s="38"/>
    </row>
    <row r="845" spans="1:4" x14ac:dyDescent="0.25">
      <c r="A845" s="3">
        <f>SUBTOTAL(103,B$2:B845)*1</f>
        <v>844</v>
      </c>
      <c r="B845" s="47" t="s">
        <v>2787</v>
      </c>
      <c r="C845" s="38">
        <v>46077</v>
      </c>
      <c r="D845" s="38"/>
    </row>
    <row r="846" spans="1:4" x14ac:dyDescent="0.25">
      <c r="A846" s="3">
        <f>SUBTOTAL(103,B$2:B846)*1</f>
        <v>845</v>
      </c>
      <c r="B846" s="47" t="s">
        <v>2792</v>
      </c>
      <c r="C846" s="38">
        <v>46077</v>
      </c>
      <c r="D846" s="38"/>
    </row>
    <row r="847" spans="1:4" x14ac:dyDescent="0.25">
      <c r="A847" s="3">
        <f>SUBTOTAL(103,B$2:B847)*1</f>
        <v>846</v>
      </c>
      <c r="B847" s="47" t="s">
        <v>2794</v>
      </c>
      <c r="C847" s="38">
        <v>46077</v>
      </c>
      <c r="D847" s="38"/>
    </row>
    <row r="848" spans="1:4" x14ac:dyDescent="0.25">
      <c r="A848" s="3">
        <f>SUBTOTAL(103,B$2:B848)*1</f>
        <v>847</v>
      </c>
      <c r="B848" s="47" t="s">
        <v>2796</v>
      </c>
      <c r="C848" s="38">
        <v>46089</v>
      </c>
      <c r="D848" s="38"/>
    </row>
    <row r="849" spans="1:4" x14ac:dyDescent="0.25">
      <c r="A849" s="3">
        <f>SUBTOTAL(103,B$2:B849)*1</f>
        <v>848</v>
      </c>
      <c r="B849" s="47" t="s">
        <v>2798</v>
      </c>
      <c r="C849" s="38">
        <v>46089</v>
      </c>
      <c r="D849" s="38"/>
    </row>
    <row r="850" spans="1:4" x14ac:dyDescent="0.25">
      <c r="A850" s="3">
        <f>SUBTOTAL(103,B$2:B850)*1</f>
        <v>849</v>
      </c>
      <c r="B850" s="47" t="s">
        <v>2799</v>
      </c>
      <c r="C850" s="38">
        <v>46089</v>
      </c>
      <c r="D850" s="38"/>
    </row>
    <row r="851" spans="1:4" x14ac:dyDescent="0.25">
      <c r="A851" s="3">
        <f>SUBTOTAL(103,B$2:B851)*1</f>
        <v>850</v>
      </c>
      <c r="B851" s="47" t="s">
        <v>2800</v>
      </c>
      <c r="C851" s="38">
        <v>46089</v>
      </c>
      <c r="D851" s="38"/>
    </row>
    <row r="852" spans="1:4" x14ac:dyDescent="0.25">
      <c r="A852" s="3">
        <f>SUBTOTAL(103,B$2:B852)*1</f>
        <v>851</v>
      </c>
      <c r="B852" s="47" t="s">
        <v>2802</v>
      </c>
      <c r="C852" s="38">
        <v>46089</v>
      </c>
      <c r="D852" s="38"/>
    </row>
    <row r="853" spans="1:4" x14ac:dyDescent="0.25">
      <c r="A853" s="3">
        <f>SUBTOTAL(103,B$2:B853)*1</f>
        <v>852</v>
      </c>
      <c r="B853" s="47" t="s">
        <v>2807</v>
      </c>
      <c r="C853" s="38">
        <v>46089</v>
      </c>
      <c r="D853" s="38"/>
    </row>
    <row r="854" spans="1:4" x14ac:dyDescent="0.25">
      <c r="A854" s="3">
        <f>SUBTOTAL(103,B$2:B854)*1</f>
        <v>853</v>
      </c>
      <c r="B854" s="47" t="s">
        <v>2795</v>
      </c>
      <c r="C854" s="38">
        <v>46089</v>
      </c>
      <c r="D854" s="38"/>
    </row>
    <row r="855" spans="1:4" x14ac:dyDescent="0.25">
      <c r="A855" s="3">
        <f>SUBTOTAL(103,B$2:B855)*1</f>
        <v>854</v>
      </c>
      <c r="B855" s="47" t="s">
        <v>2808</v>
      </c>
      <c r="C855" s="38">
        <v>46089</v>
      </c>
      <c r="D855" s="38"/>
    </row>
    <row r="856" spans="1:4" x14ac:dyDescent="0.25">
      <c r="A856" s="3">
        <f>SUBTOTAL(103,B$2:B856)*1</f>
        <v>855</v>
      </c>
      <c r="B856" s="47" t="s">
        <v>2811</v>
      </c>
      <c r="C856" s="38">
        <v>46089</v>
      </c>
      <c r="D856" s="38"/>
    </row>
    <row r="857" spans="1:4" x14ac:dyDescent="0.25">
      <c r="A857" s="3">
        <f>SUBTOTAL(103,B$2:B857)*1</f>
        <v>856</v>
      </c>
      <c r="B857" s="47" t="s">
        <v>2816</v>
      </c>
      <c r="C857" s="38">
        <v>46096</v>
      </c>
      <c r="D857" s="38"/>
    </row>
    <row r="858" spans="1:4" x14ac:dyDescent="0.25">
      <c r="A858" s="3">
        <f>SUBTOTAL(103,B$2:B858)*1</f>
        <v>857</v>
      </c>
      <c r="B858" s="47" t="s">
        <v>2818</v>
      </c>
      <c r="C858" s="38">
        <v>46096</v>
      </c>
      <c r="D858" s="38"/>
    </row>
    <row r="859" spans="1:4" x14ac:dyDescent="0.25">
      <c r="A859" s="3">
        <f>SUBTOTAL(103,B$2:B859)*1</f>
        <v>858</v>
      </c>
      <c r="B859" s="47" t="s">
        <v>2819</v>
      </c>
      <c r="C859" s="38">
        <v>46096</v>
      </c>
      <c r="D859" s="38"/>
    </row>
    <row r="860" spans="1:4" x14ac:dyDescent="0.25">
      <c r="A860" s="3">
        <f>SUBTOTAL(103,B$2:B860)*1</f>
        <v>859</v>
      </c>
      <c r="B860" s="47" t="s">
        <v>2822</v>
      </c>
      <c r="C860" s="38">
        <v>46096</v>
      </c>
      <c r="D860" s="38"/>
    </row>
    <row r="861" spans="1:4" x14ac:dyDescent="0.25">
      <c r="A861" s="3">
        <f>SUBTOTAL(103,B$2:B861)*1</f>
        <v>860</v>
      </c>
      <c r="B861" s="47" t="s">
        <v>2827</v>
      </c>
      <c r="C861" s="38">
        <v>46096</v>
      </c>
      <c r="D861" s="38"/>
    </row>
    <row r="862" spans="1:4" x14ac:dyDescent="0.25">
      <c r="A862" s="3">
        <f>SUBTOTAL(103,B$2:B862)*1</f>
        <v>861</v>
      </c>
      <c r="B862" s="41" t="s">
        <v>2831</v>
      </c>
      <c r="C862" s="38">
        <v>46096</v>
      </c>
      <c r="D862" s="38"/>
    </row>
    <row r="863" spans="1:4" x14ac:dyDescent="0.25">
      <c r="A863" s="3">
        <f>SUBTOTAL(103,B$2:B863)*1</f>
        <v>862</v>
      </c>
      <c r="B863" s="47" t="s">
        <v>2832</v>
      </c>
      <c r="C863" s="38">
        <v>46096</v>
      </c>
      <c r="D863" s="38"/>
    </row>
    <row r="864" spans="1:4" x14ac:dyDescent="0.25">
      <c r="A864" s="3">
        <f>SUBTOTAL(103,B$2:B864)*1</f>
        <v>863</v>
      </c>
      <c r="B864" s="47" t="s">
        <v>2834</v>
      </c>
      <c r="C864" s="38">
        <v>46096</v>
      </c>
      <c r="D864" s="38"/>
    </row>
    <row r="865" spans="1:4" x14ac:dyDescent="0.25">
      <c r="A865" s="3">
        <f>SUBTOTAL(103,B$2:B865)*1</f>
        <v>864</v>
      </c>
      <c r="B865" s="47" t="s">
        <v>2817</v>
      </c>
      <c r="C865" s="38">
        <v>46096</v>
      </c>
      <c r="D865" s="38"/>
    </row>
    <row r="866" spans="1:4" x14ac:dyDescent="0.25">
      <c r="A866" s="3">
        <f>SUBTOTAL(103,B$2:B866)*1</f>
        <v>865</v>
      </c>
      <c r="B866" s="47" t="s">
        <v>2839</v>
      </c>
      <c r="C866" s="38">
        <v>46096</v>
      </c>
      <c r="D866" s="38"/>
    </row>
    <row r="867" spans="1:4" x14ac:dyDescent="0.25">
      <c r="A867" s="3">
        <f>SUBTOTAL(103,B$2:B867)*1</f>
        <v>866</v>
      </c>
      <c r="B867" s="47" t="s">
        <v>2841</v>
      </c>
      <c r="C867" s="38">
        <v>46096</v>
      </c>
      <c r="D867" s="38"/>
    </row>
    <row r="868" spans="1:4" x14ac:dyDescent="0.25">
      <c r="A868" s="3">
        <f>SUBTOTAL(103,B$2:B868)*1</f>
        <v>867</v>
      </c>
      <c r="B868" s="47" t="s">
        <v>2843</v>
      </c>
      <c r="C868" s="38">
        <v>46096</v>
      </c>
      <c r="D868" s="38"/>
    </row>
    <row r="869" spans="1:4" x14ac:dyDescent="0.25">
      <c r="A869" s="3">
        <f>SUBTOTAL(103,B$2:B869)*1</f>
        <v>868</v>
      </c>
      <c r="B869" s="47" t="s">
        <v>2844</v>
      </c>
      <c r="C869" s="38">
        <v>46096</v>
      </c>
      <c r="D869" s="38"/>
    </row>
    <row r="870" spans="1:4" x14ac:dyDescent="0.25">
      <c r="A870" s="3">
        <f>SUBTOTAL(103,B$2:B870)*1</f>
        <v>869</v>
      </c>
      <c r="B870" s="47" t="s">
        <v>2848</v>
      </c>
      <c r="C870" s="38">
        <v>46096</v>
      </c>
      <c r="D870" s="38"/>
    </row>
    <row r="871" spans="1:4" x14ac:dyDescent="0.25">
      <c r="A871" s="3">
        <f>SUBTOTAL(103,B$2:B871)*1</f>
        <v>870</v>
      </c>
      <c r="B871" s="47" t="s">
        <v>2851</v>
      </c>
      <c r="C871" s="38">
        <v>46096</v>
      </c>
      <c r="D871" s="38"/>
    </row>
    <row r="872" spans="1:4" x14ac:dyDescent="0.25">
      <c r="A872" s="3">
        <f>SUBTOTAL(103,B$2:B872)*1</f>
        <v>871</v>
      </c>
      <c r="B872" s="47" t="s">
        <v>2855</v>
      </c>
      <c r="C872" s="38">
        <v>46096</v>
      </c>
      <c r="D872" s="38"/>
    </row>
    <row r="873" spans="1:4" x14ac:dyDescent="0.25">
      <c r="A873" s="3">
        <f>SUBTOTAL(103,B$2:B873)*1</f>
        <v>872</v>
      </c>
      <c r="B873" s="47" t="s">
        <v>2860</v>
      </c>
      <c r="C873" s="38">
        <v>46096</v>
      </c>
      <c r="D873" s="38"/>
    </row>
    <row r="874" spans="1:4" x14ac:dyDescent="0.25">
      <c r="A874" s="3">
        <f>SUBTOTAL(103,B$2:B874)*1</f>
        <v>873</v>
      </c>
      <c r="B874" s="47" t="s">
        <v>2861</v>
      </c>
      <c r="C874" s="38">
        <v>46096</v>
      </c>
      <c r="D874" s="38"/>
    </row>
    <row r="875" spans="1:4" x14ac:dyDescent="0.25">
      <c r="A875" s="3">
        <f>SUBTOTAL(103,B$2:B875)*1</f>
        <v>874</v>
      </c>
      <c r="B875" s="47" t="s">
        <v>2865</v>
      </c>
      <c r="C875" s="38">
        <v>46096</v>
      </c>
      <c r="D875" s="38"/>
    </row>
    <row r="876" spans="1:4" x14ac:dyDescent="0.25">
      <c r="A876" s="3">
        <f>SUBTOTAL(103,B$2:B876)*1</f>
        <v>875</v>
      </c>
      <c r="B876" s="47" t="s">
        <v>2868</v>
      </c>
      <c r="C876" s="38">
        <v>46096</v>
      </c>
      <c r="D876" s="38"/>
    </row>
    <row r="877" spans="1:4" x14ac:dyDescent="0.25">
      <c r="A877" s="3">
        <f>SUBTOTAL(103,B$2:B877)*1</f>
        <v>876</v>
      </c>
      <c r="B877" s="47" t="s">
        <v>2869</v>
      </c>
      <c r="C877" s="38">
        <v>46096</v>
      </c>
      <c r="D877" s="38"/>
    </row>
    <row r="878" spans="1:4" x14ac:dyDescent="0.25">
      <c r="A878" s="3">
        <f>SUBTOTAL(103,B$2:B878)*1</f>
        <v>877</v>
      </c>
      <c r="B878" s="47" t="s">
        <v>2870</v>
      </c>
      <c r="C878" s="38">
        <v>46096</v>
      </c>
      <c r="D878" s="38"/>
    </row>
    <row r="879" spans="1:4" x14ac:dyDescent="0.25">
      <c r="A879" s="3">
        <f>SUBTOTAL(103,B$2:B879)*1</f>
        <v>878</v>
      </c>
      <c r="B879" s="47" t="s">
        <v>2872</v>
      </c>
      <c r="C879" s="38">
        <v>46096</v>
      </c>
      <c r="D879" s="38"/>
    </row>
    <row r="880" spans="1:4" x14ac:dyDescent="0.25">
      <c r="A880" s="3">
        <f>SUBTOTAL(103,B$2:B880)*1</f>
        <v>879</v>
      </c>
      <c r="B880" s="47" t="s">
        <v>2874</v>
      </c>
      <c r="C880" s="38">
        <v>46096</v>
      </c>
      <c r="D880" s="38"/>
    </row>
    <row r="881" spans="1:4" x14ac:dyDescent="0.25">
      <c r="A881" s="3">
        <f>SUBTOTAL(103,B$2:B881)*1</f>
        <v>880</v>
      </c>
      <c r="B881" s="47" t="s">
        <v>2875</v>
      </c>
      <c r="C881" s="38">
        <v>46096</v>
      </c>
      <c r="D881" s="38"/>
    </row>
    <row r="882" spans="1:4" x14ac:dyDescent="0.25">
      <c r="A882" s="3">
        <f>SUBTOTAL(103,B$2:B882)*1</f>
        <v>881</v>
      </c>
      <c r="B882" s="47" t="s">
        <v>2877</v>
      </c>
      <c r="C882" s="38">
        <v>46096</v>
      </c>
      <c r="D882" s="38"/>
    </row>
    <row r="883" spans="1:4" x14ac:dyDescent="0.25">
      <c r="A883" s="3">
        <f>SUBTOTAL(103,B$2:B883)*1</f>
        <v>882</v>
      </c>
      <c r="B883" s="47" t="s">
        <v>2879</v>
      </c>
      <c r="C883" s="38">
        <v>46096</v>
      </c>
      <c r="D883" s="38"/>
    </row>
    <row r="884" spans="1:4" x14ac:dyDescent="0.25">
      <c r="A884" s="3">
        <f>SUBTOTAL(103,B$2:B884)*1</f>
        <v>883</v>
      </c>
      <c r="B884" s="47" t="s">
        <v>2895</v>
      </c>
      <c r="C884" s="38">
        <v>46103</v>
      </c>
      <c r="D884" s="38"/>
    </row>
    <row r="885" spans="1:4" x14ac:dyDescent="0.25">
      <c r="A885" s="3">
        <f>SUBTOTAL(103,B$2:B885)*1</f>
        <v>884</v>
      </c>
      <c r="B885" s="47" t="s">
        <v>2898</v>
      </c>
      <c r="C885" s="38">
        <v>46103</v>
      </c>
      <c r="D885" s="38"/>
    </row>
    <row r="886" spans="1:4" x14ac:dyDescent="0.25">
      <c r="A886" s="3">
        <f>SUBTOTAL(103,B$2:B886)*1</f>
        <v>885</v>
      </c>
      <c r="B886" s="47" t="s">
        <v>2901</v>
      </c>
      <c r="C886" s="38">
        <v>46103</v>
      </c>
      <c r="D886" s="38"/>
    </row>
    <row r="887" spans="1:4" x14ac:dyDescent="0.25">
      <c r="A887" s="3">
        <f>SUBTOTAL(103,B$2:B887)*1</f>
        <v>886</v>
      </c>
      <c r="B887" s="47" t="s">
        <v>2902</v>
      </c>
      <c r="C887" s="38">
        <v>46103</v>
      </c>
      <c r="D887" s="38"/>
    </row>
    <row r="888" spans="1:4" x14ac:dyDescent="0.25">
      <c r="A888" s="3">
        <f>SUBTOTAL(103,B$2:B888)*1</f>
        <v>887</v>
      </c>
      <c r="B888" s="47" t="s">
        <v>2903</v>
      </c>
      <c r="C888" s="38">
        <v>46103</v>
      </c>
      <c r="D888" s="38"/>
    </row>
    <row r="889" spans="1:4" x14ac:dyDescent="0.25">
      <c r="A889" s="3">
        <f>SUBTOTAL(103,B$2:B889)*1</f>
        <v>888</v>
      </c>
      <c r="B889" s="47" t="s">
        <v>2906</v>
      </c>
      <c r="C889" s="38">
        <v>46103</v>
      </c>
      <c r="D889" s="38"/>
    </row>
    <row r="890" spans="1:4" x14ac:dyDescent="0.25">
      <c r="A890" s="3">
        <f>SUBTOTAL(103,B$2:B890)*1</f>
        <v>889</v>
      </c>
      <c r="B890" s="47" t="s">
        <v>2917</v>
      </c>
      <c r="C890" s="38">
        <v>46103</v>
      </c>
      <c r="D890" s="38"/>
    </row>
    <row r="891" spans="1:4" x14ac:dyDescent="0.25">
      <c r="A891" s="3">
        <f>SUBTOTAL(103,B$2:B891)*1</f>
        <v>890</v>
      </c>
      <c r="B891" s="47" t="s">
        <v>2921</v>
      </c>
      <c r="C891" s="38">
        <v>46103</v>
      </c>
      <c r="D891" s="38"/>
    </row>
    <row r="892" spans="1:4" x14ac:dyDescent="0.25">
      <c r="A892" s="3">
        <f>SUBTOTAL(103,B$2:B892)*1</f>
        <v>891</v>
      </c>
      <c r="B892" s="47" t="s">
        <v>2925</v>
      </c>
      <c r="C892" s="38">
        <v>46103</v>
      </c>
      <c r="D892" s="38"/>
    </row>
    <row r="893" spans="1:4" x14ac:dyDescent="0.25">
      <c r="A893" s="3">
        <f>SUBTOTAL(103,B$2:B893)*1</f>
        <v>892</v>
      </c>
      <c r="B893" s="47" t="s">
        <v>2927</v>
      </c>
      <c r="C893" s="38">
        <v>46103</v>
      </c>
      <c r="D893" s="38"/>
    </row>
    <row r="894" spans="1:4" x14ac:dyDescent="0.25">
      <c r="A894" s="3">
        <f>SUBTOTAL(103,B$2:B894)*1</f>
        <v>893</v>
      </c>
      <c r="B894" s="47" t="s">
        <v>2929</v>
      </c>
      <c r="C894" s="38">
        <v>46103</v>
      </c>
      <c r="D894" s="38"/>
    </row>
    <row r="895" spans="1:4" x14ac:dyDescent="0.25">
      <c r="A895" s="3">
        <f>SUBTOTAL(103,B$2:B895)*1</f>
        <v>894</v>
      </c>
      <c r="B895" s="47" t="s">
        <v>2934</v>
      </c>
      <c r="C895" s="38">
        <v>46103</v>
      </c>
      <c r="D895" s="38"/>
    </row>
    <row r="896" spans="1:4" x14ac:dyDescent="0.25">
      <c r="A896" s="3">
        <f>SUBTOTAL(103,B$2:B896)*1</f>
        <v>895</v>
      </c>
      <c r="B896" s="47" t="s">
        <v>2940</v>
      </c>
      <c r="C896" s="38">
        <v>46103</v>
      </c>
      <c r="D896" s="38"/>
    </row>
    <row r="897" spans="1:4" x14ac:dyDescent="0.25">
      <c r="A897" s="3">
        <f>SUBTOTAL(103,B$2:B897)*1</f>
        <v>896</v>
      </c>
      <c r="B897" s="47" t="s">
        <v>2943</v>
      </c>
      <c r="C897" s="38">
        <v>46103</v>
      </c>
      <c r="D897" s="38"/>
    </row>
    <row r="898" spans="1:4" x14ac:dyDescent="0.25">
      <c r="A898" s="3">
        <f>SUBTOTAL(103,B$2:B898)*1</f>
        <v>897</v>
      </c>
      <c r="B898" s="47" t="s">
        <v>2947</v>
      </c>
      <c r="C898" s="38">
        <v>46103</v>
      </c>
      <c r="D898" s="38"/>
    </row>
    <row r="899" spans="1:4" x14ac:dyDescent="0.25">
      <c r="A899" s="3">
        <f>SUBTOTAL(103,B$2:B899)*1</f>
        <v>898</v>
      </c>
      <c r="B899" s="47" t="s">
        <v>2952</v>
      </c>
      <c r="C899" s="38">
        <v>46103</v>
      </c>
      <c r="D899" s="38"/>
    </row>
    <row r="900" spans="1:4" x14ac:dyDescent="0.25">
      <c r="A900" s="3">
        <f>SUBTOTAL(103,B$2:B900)*1</f>
        <v>899</v>
      </c>
      <c r="B900" s="47" t="s">
        <v>2957</v>
      </c>
      <c r="C900" s="38">
        <v>46103</v>
      </c>
      <c r="D900" s="38"/>
    </row>
    <row r="901" spans="1:4" x14ac:dyDescent="0.25">
      <c r="A901" s="3">
        <f>SUBTOTAL(103,B$2:B901)*1</f>
        <v>900</v>
      </c>
      <c r="B901" s="47" t="s">
        <v>2962</v>
      </c>
      <c r="C901" s="38">
        <v>46103</v>
      </c>
      <c r="D901" s="38"/>
    </row>
    <row r="902" spans="1:4" x14ac:dyDescent="0.25">
      <c r="A902" s="3">
        <f>SUBTOTAL(103,B$2:B902)*1</f>
        <v>901</v>
      </c>
      <c r="B902" s="47" t="s">
        <v>2964</v>
      </c>
      <c r="C902" s="38">
        <v>46103</v>
      </c>
      <c r="D902" s="38"/>
    </row>
    <row r="903" spans="1:4" x14ac:dyDescent="0.25">
      <c r="A903" s="3">
        <f>SUBTOTAL(103,B$2:B903)*1</f>
        <v>902</v>
      </c>
      <c r="B903" s="47" t="s">
        <v>2971</v>
      </c>
      <c r="C903" s="38">
        <v>46103</v>
      </c>
      <c r="D903" s="38"/>
    </row>
    <row r="904" spans="1:4" x14ac:dyDescent="0.25">
      <c r="A904" s="3">
        <f>SUBTOTAL(103,B$2:B904)*1</f>
        <v>903</v>
      </c>
      <c r="B904" s="47" t="s">
        <v>2973</v>
      </c>
      <c r="C904" s="38">
        <v>46103</v>
      </c>
      <c r="D904" s="38"/>
    </row>
    <row r="905" spans="1:4" x14ac:dyDescent="0.25">
      <c r="A905" s="3">
        <f>SUBTOTAL(103,B$2:B905)*1</f>
        <v>904</v>
      </c>
      <c r="B905" s="47" t="s">
        <v>2976</v>
      </c>
      <c r="C905" s="38">
        <v>46103</v>
      </c>
      <c r="D905" s="38"/>
    </row>
    <row r="906" spans="1:4" x14ac:dyDescent="0.25">
      <c r="A906" s="3">
        <f>SUBTOTAL(103,B$2:B906)*1</f>
        <v>905</v>
      </c>
      <c r="B906" s="47" t="s">
        <v>2980</v>
      </c>
      <c r="C906" s="38">
        <v>46103</v>
      </c>
      <c r="D906" s="38"/>
    </row>
    <row r="907" spans="1:4" x14ac:dyDescent="0.25">
      <c r="A907" s="3">
        <f>SUBTOTAL(103,B$2:B907)*1</f>
        <v>906</v>
      </c>
      <c r="B907" s="47" t="s">
        <v>2986</v>
      </c>
      <c r="C907" s="38">
        <v>46103</v>
      </c>
      <c r="D907" s="38"/>
    </row>
    <row r="908" spans="1:4" x14ac:dyDescent="0.25">
      <c r="A908" s="3">
        <f>SUBTOTAL(103,B$2:B908)*1</f>
        <v>907</v>
      </c>
      <c r="B908" s="47" t="s">
        <v>2991</v>
      </c>
      <c r="C908" s="38">
        <v>46103</v>
      </c>
      <c r="D908" s="38"/>
    </row>
    <row r="909" spans="1:4" x14ac:dyDescent="0.25">
      <c r="A909" s="3">
        <f>SUBTOTAL(103,B$2:B909)*1</f>
        <v>908</v>
      </c>
      <c r="B909" s="47" t="s">
        <v>2994</v>
      </c>
      <c r="C909" s="38">
        <v>46103</v>
      </c>
      <c r="D909" s="38"/>
    </row>
    <row r="910" spans="1:4" x14ac:dyDescent="0.25">
      <c r="A910" s="3">
        <f>SUBTOTAL(103,B$2:B910)*1</f>
        <v>909</v>
      </c>
      <c r="B910" s="47" t="s">
        <v>2977</v>
      </c>
      <c r="C910" s="38">
        <v>46103</v>
      </c>
      <c r="D910" s="38"/>
    </row>
    <row r="911" spans="1:4" x14ac:dyDescent="0.25">
      <c r="A911" s="3">
        <f>SUBTOTAL(103,B$2:B911)*1</f>
        <v>909</v>
      </c>
      <c r="B911" s="47"/>
      <c r="C911" s="38"/>
      <c r="D911" s="38"/>
    </row>
    <row r="912" spans="1:4" x14ac:dyDescent="0.25">
      <c r="A912" s="3">
        <f>SUBTOTAL(103,B$2:B912)*1</f>
        <v>909</v>
      </c>
      <c r="B912" s="47"/>
      <c r="C912" s="38"/>
      <c r="D912" s="38"/>
    </row>
    <row r="913" spans="1:4" x14ac:dyDescent="0.25">
      <c r="A913" s="3">
        <f>SUBTOTAL(103,B$2:B913)*1</f>
        <v>909</v>
      </c>
      <c r="B913" s="47"/>
      <c r="C913" s="38"/>
      <c r="D913" s="38"/>
    </row>
    <row r="914" spans="1:4" x14ac:dyDescent="0.25">
      <c r="A914" s="3">
        <f>SUBTOTAL(103,B$2:B914)*1</f>
        <v>909</v>
      </c>
      <c r="B914" s="47"/>
      <c r="C914" s="38"/>
      <c r="D914" s="38"/>
    </row>
    <row r="915" spans="1:4" x14ac:dyDescent="0.25">
      <c r="A915" s="3">
        <f>SUBTOTAL(103,B$2:B915)*1</f>
        <v>909</v>
      </c>
      <c r="B915" s="47"/>
      <c r="C915" s="38"/>
      <c r="D915" s="38"/>
    </row>
    <row r="916" spans="1:4" x14ac:dyDescent="0.25">
      <c r="A916" s="3">
        <f>SUBTOTAL(103,B$2:B916)*1</f>
        <v>909</v>
      </c>
      <c r="B916" s="47"/>
      <c r="C916" s="38"/>
      <c r="D916" s="38"/>
    </row>
    <row r="917" spans="1:4" x14ac:dyDescent="0.25">
      <c r="A917" s="3">
        <f>SUBTOTAL(103,B$2:B917)*1</f>
        <v>909</v>
      </c>
      <c r="B917" s="47"/>
      <c r="C917" s="38"/>
      <c r="D917" s="38"/>
    </row>
    <row r="918" spans="1:4" x14ac:dyDescent="0.25">
      <c r="A918" s="3">
        <f>SUBTOTAL(103,B$2:B918)*1</f>
        <v>909</v>
      </c>
      <c r="B918" s="47"/>
      <c r="C918" s="38"/>
      <c r="D918" s="38"/>
    </row>
    <row r="919" spans="1:4" x14ac:dyDescent="0.25">
      <c r="A919" s="3">
        <f>SUBTOTAL(103,B$2:B919)*1</f>
        <v>909</v>
      </c>
      <c r="B919" s="47"/>
      <c r="C919" s="38"/>
      <c r="D919" s="38"/>
    </row>
    <row r="920" spans="1:4" x14ac:dyDescent="0.25">
      <c r="A920" s="3">
        <f>SUBTOTAL(103,B$2:B920)*1</f>
        <v>909</v>
      </c>
      <c r="B920" s="47"/>
      <c r="C920" s="38"/>
      <c r="D920" s="38"/>
    </row>
    <row r="921" spans="1:4" x14ac:dyDescent="0.25">
      <c r="A921" s="3">
        <f>SUBTOTAL(103,B$2:B921)*1</f>
        <v>909</v>
      </c>
      <c r="B921" s="47"/>
      <c r="C921" s="38"/>
      <c r="D921" s="38"/>
    </row>
    <row r="922" spans="1:4" x14ac:dyDescent="0.25">
      <c r="A922" s="3">
        <f>SUBTOTAL(103,B$2:B922)*1</f>
        <v>909</v>
      </c>
      <c r="B922" s="47"/>
      <c r="C922" s="38"/>
      <c r="D922" s="38"/>
    </row>
    <row r="923" spans="1:4" x14ac:dyDescent="0.25">
      <c r="A923" s="3">
        <f>SUBTOTAL(103,B$2:B923)*1</f>
        <v>909</v>
      </c>
      <c r="B923" s="47"/>
      <c r="C923" s="38"/>
      <c r="D923" s="38"/>
    </row>
    <row r="924" spans="1:4" x14ac:dyDescent="0.25">
      <c r="A924" s="3">
        <f>SUBTOTAL(103,B$2:B924)*1</f>
        <v>909</v>
      </c>
      <c r="B924" s="47"/>
      <c r="C924" s="38"/>
      <c r="D924" s="38"/>
    </row>
    <row r="925" spans="1:4" x14ac:dyDescent="0.25">
      <c r="A925" s="3"/>
      <c r="B925" s="47"/>
      <c r="C925" s="38"/>
      <c r="D925" s="38"/>
    </row>
    <row r="926" spans="1:4" x14ac:dyDescent="0.25">
      <c r="A926" s="3"/>
      <c r="B926" s="47"/>
      <c r="C926" s="38"/>
      <c r="D926" s="38"/>
    </row>
    <row r="927" spans="1:4" x14ac:dyDescent="0.25">
      <c r="A927" s="3"/>
      <c r="B927" s="47"/>
      <c r="C927" s="38"/>
      <c r="D927" s="38"/>
    </row>
    <row r="928" spans="1:4" x14ac:dyDescent="0.25">
      <c r="A928" s="3"/>
      <c r="B928" s="47"/>
      <c r="C928" s="38"/>
      <c r="D928" s="38"/>
    </row>
    <row r="929" spans="1:4" x14ac:dyDescent="0.25">
      <c r="A929" s="3"/>
      <c r="B929" s="47"/>
      <c r="C929" s="38"/>
      <c r="D929" s="38"/>
    </row>
    <row r="930" spans="1:4" x14ac:dyDescent="0.25">
      <c r="A930" s="3"/>
      <c r="B930" s="47"/>
      <c r="C930" s="38"/>
      <c r="D930" s="38"/>
    </row>
    <row r="931" spans="1:4" x14ac:dyDescent="0.25">
      <c r="A931" s="3"/>
      <c r="B931" s="47"/>
      <c r="C931" s="38"/>
      <c r="D931" s="38"/>
    </row>
    <row r="932" spans="1:4" x14ac:dyDescent="0.25">
      <c r="A932" s="3"/>
      <c r="B932" s="47"/>
      <c r="C932" s="38"/>
      <c r="D932" s="38"/>
    </row>
    <row r="933" spans="1:4" x14ac:dyDescent="0.25">
      <c r="A933" s="3"/>
      <c r="B933" s="47"/>
      <c r="C933" s="38"/>
      <c r="D933" s="38"/>
    </row>
    <row r="934" spans="1:4" x14ac:dyDescent="0.25">
      <c r="A934" s="3"/>
      <c r="B934" s="47"/>
      <c r="C934" s="38"/>
      <c r="D934" s="38"/>
    </row>
    <row r="935" spans="1:4" x14ac:dyDescent="0.25">
      <c r="A935" s="3"/>
      <c r="B935" s="47"/>
      <c r="C935" s="38"/>
      <c r="D935" s="38"/>
    </row>
    <row r="936" spans="1:4" x14ac:dyDescent="0.25">
      <c r="A936" s="3"/>
      <c r="B936" s="47"/>
      <c r="C936" s="38"/>
      <c r="D936" s="38"/>
    </row>
    <row r="937" spans="1:4" x14ac:dyDescent="0.25">
      <c r="A937" s="3"/>
      <c r="B937" s="47"/>
      <c r="C937" s="38"/>
      <c r="D937" s="38"/>
    </row>
    <row r="938" spans="1:4" x14ac:dyDescent="0.25">
      <c r="A938" s="3"/>
      <c r="B938" s="47"/>
      <c r="C938" s="38"/>
      <c r="D938" s="38"/>
    </row>
    <row r="939" spans="1:4" x14ac:dyDescent="0.25">
      <c r="A939" s="3"/>
      <c r="B939" s="47"/>
      <c r="C939" s="38"/>
      <c r="D939" s="38"/>
    </row>
    <row r="940" spans="1:4" x14ac:dyDescent="0.25">
      <c r="A940" s="3"/>
      <c r="B940" s="47"/>
      <c r="C940" s="38"/>
      <c r="D940" s="38"/>
    </row>
    <row r="941" spans="1:4" x14ac:dyDescent="0.25">
      <c r="A941" s="3"/>
      <c r="B941" s="47"/>
      <c r="C941" s="38"/>
      <c r="D941" s="38"/>
    </row>
    <row r="942" spans="1:4" x14ac:dyDescent="0.25">
      <c r="A942" s="3"/>
      <c r="B942" s="47"/>
      <c r="C942" s="38"/>
      <c r="D942" s="38"/>
    </row>
    <row r="943" spans="1:4" x14ac:dyDescent="0.25">
      <c r="A943" s="3"/>
      <c r="B943" s="47"/>
      <c r="C943" s="38"/>
      <c r="D943" s="38"/>
    </row>
    <row r="944" spans="1:4" x14ac:dyDescent="0.25">
      <c r="A944" s="3"/>
      <c r="B944" s="47"/>
      <c r="C944" s="38"/>
      <c r="D944" s="38"/>
    </row>
    <row r="945" spans="1:4" x14ac:dyDescent="0.25">
      <c r="A945" s="3"/>
      <c r="B945" s="47"/>
      <c r="C945" s="38"/>
      <c r="D945" s="38"/>
    </row>
    <row r="946" spans="1:4" x14ac:dyDescent="0.25">
      <c r="A946" s="3"/>
      <c r="B946" s="47"/>
      <c r="C946" s="38"/>
      <c r="D946" s="38"/>
    </row>
    <row r="947" spans="1:4" x14ac:dyDescent="0.25">
      <c r="A947" s="3"/>
      <c r="B947" s="47"/>
      <c r="C947" s="38"/>
      <c r="D947" s="38"/>
    </row>
    <row r="948" spans="1:4" x14ac:dyDescent="0.25">
      <c r="A948" s="3"/>
      <c r="B948" s="47"/>
      <c r="C948" s="38"/>
      <c r="D948" s="38"/>
    </row>
    <row r="949" spans="1:4" x14ac:dyDescent="0.25">
      <c r="A949" s="3"/>
      <c r="B949" s="47"/>
      <c r="C949" s="38"/>
      <c r="D949" s="38"/>
    </row>
    <row r="950" spans="1:4" x14ac:dyDescent="0.25">
      <c r="A950" s="3"/>
      <c r="B950" s="47"/>
      <c r="C950" s="38"/>
      <c r="D950" s="38"/>
    </row>
    <row r="951" spans="1:4" x14ac:dyDescent="0.25">
      <c r="A951" s="3"/>
      <c r="B951" s="47"/>
      <c r="C951" s="38"/>
      <c r="D951" s="38"/>
    </row>
    <row r="952" spans="1:4" x14ac:dyDescent="0.25">
      <c r="A952" s="3"/>
      <c r="B952" s="47"/>
      <c r="C952" s="38"/>
      <c r="D952" s="38"/>
    </row>
    <row r="953" spans="1:4" x14ac:dyDescent="0.25">
      <c r="A953" s="3"/>
      <c r="B953" s="47"/>
      <c r="C953" s="38"/>
      <c r="D953" s="38"/>
    </row>
    <row r="954" spans="1:4" x14ac:dyDescent="0.25">
      <c r="A954" s="3"/>
      <c r="B954" s="47"/>
      <c r="C954" s="38"/>
      <c r="D954" s="38"/>
    </row>
    <row r="955" spans="1:4" x14ac:dyDescent="0.25">
      <c r="A955" s="3"/>
      <c r="B955" s="47"/>
      <c r="C955" s="38"/>
      <c r="D955" s="38"/>
    </row>
    <row r="956" spans="1:4" x14ac:dyDescent="0.25">
      <c r="A956" s="3"/>
      <c r="B956" s="47"/>
      <c r="C956" s="38"/>
      <c r="D956" s="38"/>
    </row>
    <row r="957" spans="1:4" x14ac:dyDescent="0.25">
      <c r="A957" s="3"/>
      <c r="B957" s="47"/>
      <c r="C957" s="38"/>
      <c r="D957" s="38"/>
    </row>
    <row r="958" spans="1:4" x14ac:dyDescent="0.25">
      <c r="A958" s="3"/>
      <c r="B958" s="47"/>
      <c r="C958" s="38"/>
      <c r="D958" s="38"/>
    </row>
    <row r="959" spans="1:4" x14ac:dyDescent="0.25">
      <c r="A959" s="3"/>
      <c r="B959" s="47"/>
      <c r="C959" s="38"/>
      <c r="D959" s="38"/>
    </row>
    <row r="960" spans="1:4" x14ac:dyDescent="0.25">
      <c r="A960" s="3"/>
      <c r="B960" s="47"/>
      <c r="C960" s="38"/>
      <c r="D960" s="38"/>
    </row>
    <row r="961" spans="1:4" x14ac:dyDescent="0.25">
      <c r="A961" s="3"/>
      <c r="B961" s="47"/>
      <c r="C961" s="38"/>
      <c r="D961" s="38"/>
    </row>
    <row r="962" spans="1:4" x14ac:dyDescent="0.25">
      <c r="A962" s="3"/>
      <c r="B962" s="47"/>
      <c r="C962" s="38"/>
      <c r="D962" s="38"/>
    </row>
    <row r="963" spans="1:4" x14ac:dyDescent="0.25">
      <c r="A963" s="3"/>
      <c r="B963" s="47"/>
      <c r="C963" s="38"/>
      <c r="D963" s="38"/>
    </row>
    <row r="964" spans="1:4" x14ac:dyDescent="0.25">
      <c r="A964" s="3"/>
      <c r="B964" s="47"/>
      <c r="C964" s="38"/>
      <c r="D964" s="38"/>
    </row>
    <row r="965" spans="1:4" x14ac:dyDescent="0.25">
      <c r="A965" s="3"/>
      <c r="B965" s="47"/>
      <c r="C965" s="38"/>
      <c r="D965" s="38"/>
    </row>
    <row r="966" spans="1:4" x14ac:dyDescent="0.25">
      <c r="A966" s="3"/>
      <c r="B966" s="47"/>
      <c r="C966" s="38"/>
      <c r="D966" s="38"/>
    </row>
    <row r="967" spans="1:4" x14ac:dyDescent="0.25">
      <c r="A967" s="3"/>
      <c r="B967" s="47"/>
      <c r="C967" s="38"/>
      <c r="D967" s="38"/>
    </row>
    <row r="968" spans="1:4" x14ac:dyDescent="0.25">
      <c r="A968" s="3"/>
      <c r="B968" s="47"/>
      <c r="C968" s="38"/>
      <c r="D968" s="38"/>
    </row>
    <row r="969" spans="1:4" x14ac:dyDescent="0.25">
      <c r="A969" s="3"/>
      <c r="B969" s="47"/>
      <c r="C969" s="38"/>
      <c r="D969" s="38"/>
    </row>
    <row r="970" spans="1:4" x14ac:dyDescent="0.25">
      <c r="A970" s="3"/>
      <c r="B970" s="47"/>
      <c r="C970" s="38"/>
      <c r="D970" s="38"/>
    </row>
    <row r="971" spans="1:4" x14ac:dyDescent="0.25">
      <c r="A971" s="3"/>
      <c r="B971" s="47"/>
      <c r="C971" s="38"/>
      <c r="D971" s="38"/>
    </row>
    <row r="972" spans="1:4" x14ac:dyDescent="0.25">
      <c r="A972" s="3"/>
      <c r="B972" s="47"/>
      <c r="C972" s="38"/>
      <c r="D972" s="38"/>
    </row>
    <row r="973" spans="1:4" x14ac:dyDescent="0.25">
      <c r="A973" s="3"/>
      <c r="B973" s="47"/>
      <c r="C973" s="38"/>
      <c r="D973" s="38"/>
    </row>
    <row r="974" spans="1:4" x14ac:dyDescent="0.25">
      <c r="A974" s="3"/>
      <c r="B974" s="47"/>
      <c r="C974" s="38"/>
      <c r="D974" s="38"/>
    </row>
    <row r="975" spans="1:4" x14ac:dyDescent="0.25">
      <c r="A975" s="3"/>
      <c r="B975" s="47"/>
      <c r="C975" s="38"/>
      <c r="D975" s="38"/>
    </row>
    <row r="976" spans="1:4" x14ac:dyDescent="0.25">
      <c r="A976" s="3"/>
      <c r="B976" s="47"/>
      <c r="C976" s="38"/>
      <c r="D976" s="38"/>
    </row>
    <row r="977" spans="1:4" x14ac:dyDescent="0.25">
      <c r="A977" s="3"/>
      <c r="B977" s="47"/>
      <c r="C977" s="38"/>
      <c r="D977" s="38"/>
    </row>
    <row r="978" spans="1:4" x14ac:dyDescent="0.25">
      <c r="A978" s="3"/>
      <c r="B978" s="47"/>
      <c r="C978" s="38"/>
      <c r="D978" s="38"/>
    </row>
    <row r="979" spans="1:4" x14ac:dyDescent="0.25">
      <c r="A979" s="3"/>
      <c r="B979" s="47"/>
      <c r="C979" s="38"/>
      <c r="D979" s="38"/>
    </row>
    <row r="980" spans="1:4" x14ac:dyDescent="0.25">
      <c r="A980" s="3"/>
      <c r="B980" s="47"/>
      <c r="C980" s="38"/>
      <c r="D980" s="38"/>
    </row>
    <row r="981" spans="1:4" x14ac:dyDescent="0.25">
      <c r="A981" s="3"/>
      <c r="B981" s="47"/>
      <c r="C981" s="38"/>
      <c r="D981" s="38"/>
    </row>
    <row r="982" spans="1:4" x14ac:dyDescent="0.25">
      <c r="A982" s="3"/>
      <c r="B982" s="47"/>
      <c r="C982" s="38"/>
      <c r="D982" s="38"/>
    </row>
    <row r="983" spans="1:4" x14ac:dyDescent="0.25">
      <c r="A983" s="3"/>
      <c r="B983" s="47"/>
      <c r="C983" s="38"/>
      <c r="D983" s="38"/>
    </row>
    <row r="984" spans="1:4" x14ac:dyDescent="0.25">
      <c r="A984" s="3"/>
      <c r="B984" s="47"/>
      <c r="C984" s="38"/>
      <c r="D984" s="38"/>
    </row>
    <row r="985" spans="1:4" x14ac:dyDescent="0.25">
      <c r="A985" s="3"/>
      <c r="B985" s="47"/>
      <c r="C985" s="38"/>
      <c r="D985" s="38"/>
    </row>
    <row r="986" spans="1:4" x14ac:dyDescent="0.25">
      <c r="A986" s="3"/>
      <c r="B986" s="47"/>
      <c r="C986" s="38"/>
      <c r="D986" s="38"/>
    </row>
    <row r="987" spans="1:4" x14ac:dyDescent="0.25">
      <c r="A987" s="3"/>
      <c r="B987" s="47"/>
      <c r="C987" s="38"/>
      <c r="D987" s="38"/>
    </row>
    <row r="988" spans="1:4" x14ac:dyDescent="0.25">
      <c r="A988" s="3"/>
      <c r="B988" s="47"/>
      <c r="C988" s="38"/>
      <c r="D988" s="38"/>
    </row>
    <row r="989" spans="1:4" x14ac:dyDescent="0.25">
      <c r="A989" s="3"/>
      <c r="B989" s="47"/>
      <c r="C989" s="38"/>
      <c r="D989" s="38"/>
    </row>
    <row r="990" spans="1:4" x14ac:dyDescent="0.25">
      <c r="A990" s="3"/>
      <c r="B990" s="47"/>
      <c r="C990" s="38"/>
      <c r="D990" s="38"/>
    </row>
    <row r="991" spans="1:4" x14ac:dyDescent="0.25">
      <c r="A991" s="3"/>
      <c r="B991" s="47"/>
      <c r="C991" s="38"/>
      <c r="D991" s="38"/>
    </row>
    <row r="992" spans="1:4" x14ac:dyDescent="0.25">
      <c r="A992" s="3"/>
      <c r="B992" s="47"/>
      <c r="C992" s="38"/>
      <c r="D992" s="38"/>
    </row>
    <row r="993" spans="1:4" x14ac:dyDescent="0.25">
      <c r="A993" s="3"/>
      <c r="B993" s="47"/>
      <c r="C993" s="38"/>
      <c r="D993" s="38"/>
    </row>
    <row r="994" spans="1:4" x14ac:dyDescent="0.25">
      <c r="A994" s="3"/>
      <c r="B994" s="47"/>
      <c r="C994" s="38"/>
      <c r="D994" s="38"/>
    </row>
    <row r="995" spans="1:4" x14ac:dyDescent="0.25">
      <c r="A995" s="3"/>
      <c r="B995" s="47"/>
      <c r="C995" s="38"/>
      <c r="D995" s="38"/>
    </row>
    <row r="996" spans="1:4" x14ac:dyDescent="0.25">
      <c r="A996" s="3"/>
      <c r="B996" s="47"/>
      <c r="C996" s="38"/>
      <c r="D996" s="38"/>
    </row>
    <row r="997" spans="1:4" x14ac:dyDescent="0.25">
      <c r="A997" s="3"/>
      <c r="B997" s="47"/>
      <c r="C997" s="38"/>
      <c r="D997" s="38"/>
    </row>
    <row r="998" spans="1:4" x14ac:dyDescent="0.25">
      <c r="A998" s="3"/>
      <c r="B998" s="47"/>
      <c r="C998" s="38"/>
      <c r="D998" s="38"/>
    </row>
    <row r="999" spans="1:4" x14ac:dyDescent="0.25">
      <c r="A999" s="3"/>
      <c r="B999" s="47"/>
      <c r="C999" s="38"/>
      <c r="D999" s="38"/>
    </row>
    <row r="1000" spans="1:4" x14ac:dyDescent="0.25">
      <c r="A1000" s="3"/>
      <c r="B1000" s="47"/>
      <c r="C1000" s="38"/>
      <c r="D1000" s="38"/>
    </row>
    <row r="1001" spans="1:4" x14ac:dyDescent="0.25">
      <c r="A1001" s="3"/>
      <c r="B1001" s="47"/>
      <c r="C1001" s="38"/>
      <c r="D1001" s="38"/>
    </row>
    <row r="1002" spans="1:4" x14ac:dyDescent="0.25">
      <c r="A1002" s="3"/>
      <c r="B1002" s="47"/>
      <c r="C1002" s="38"/>
      <c r="D1002" s="38"/>
    </row>
    <row r="1003" spans="1:4" x14ac:dyDescent="0.25">
      <c r="A1003" s="3"/>
      <c r="B1003" s="47"/>
      <c r="C1003" s="38"/>
      <c r="D1003" s="38"/>
    </row>
    <row r="1004" spans="1:4" x14ac:dyDescent="0.25">
      <c r="A1004" s="3"/>
      <c r="B1004" s="47"/>
      <c r="C1004" s="38"/>
      <c r="D1004" s="38"/>
    </row>
    <row r="1005" spans="1:4" x14ac:dyDescent="0.25">
      <c r="A1005" s="3"/>
      <c r="B1005" s="47"/>
      <c r="C1005" s="38"/>
      <c r="D1005" s="38"/>
    </row>
    <row r="1006" spans="1:4" x14ac:dyDescent="0.25">
      <c r="A1006" s="3"/>
      <c r="B1006" s="47"/>
      <c r="C1006" s="38"/>
      <c r="D1006" s="38"/>
    </row>
    <row r="1007" spans="1:4" x14ac:dyDescent="0.25">
      <c r="A1007" s="3"/>
      <c r="B1007" s="47"/>
      <c r="C1007" s="38"/>
      <c r="D1007" s="38"/>
    </row>
    <row r="1008" spans="1:4" x14ac:dyDescent="0.25">
      <c r="A1008" s="3"/>
      <c r="B1008" s="47"/>
      <c r="C1008" s="38"/>
      <c r="D1008" s="38"/>
    </row>
    <row r="1009" spans="1:4" x14ac:dyDescent="0.25">
      <c r="A1009" s="3"/>
      <c r="B1009" s="47"/>
      <c r="C1009" s="38"/>
      <c r="D1009" s="38"/>
    </row>
    <row r="1010" spans="1:4" x14ac:dyDescent="0.25">
      <c r="A1010" s="3"/>
      <c r="B1010" s="47"/>
      <c r="C1010" s="38"/>
      <c r="D1010" s="38"/>
    </row>
    <row r="1011" spans="1:4" x14ac:dyDescent="0.25">
      <c r="A1011" s="3"/>
      <c r="B1011" s="47"/>
      <c r="C1011" s="38"/>
      <c r="D1011" s="38"/>
    </row>
    <row r="1012" spans="1:4" x14ac:dyDescent="0.25">
      <c r="A1012" s="3"/>
      <c r="B1012" s="47"/>
      <c r="C1012" s="38"/>
      <c r="D1012" s="38"/>
    </row>
    <row r="1013" spans="1:4" x14ac:dyDescent="0.25">
      <c r="A1013" s="3"/>
      <c r="B1013" s="47"/>
      <c r="C1013" s="38"/>
      <c r="D1013" s="38"/>
    </row>
    <row r="1014" spans="1:4" x14ac:dyDescent="0.25">
      <c r="A1014" s="3"/>
      <c r="B1014" s="47"/>
      <c r="C1014" s="38"/>
      <c r="D1014" s="38"/>
    </row>
    <row r="1015" spans="1:4" x14ac:dyDescent="0.25">
      <c r="A1015" s="3"/>
      <c r="B1015" s="47"/>
      <c r="C1015" s="38"/>
      <c r="D1015" s="38"/>
    </row>
    <row r="1016" spans="1:4" x14ac:dyDescent="0.25">
      <c r="A1016" s="3"/>
      <c r="B1016" s="47"/>
      <c r="C1016" s="38"/>
      <c r="D1016" s="38"/>
    </row>
    <row r="1017" spans="1:4" x14ac:dyDescent="0.25">
      <c r="A1017" s="3"/>
      <c r="B1017" s="47"/>
      <c r="C1017" s="38"/>
      <c r="D1017" s="38"/>
    </row>
    <row r="1018" spans="1:4" x14ac:dyDescent="0.25">
      <c r="A1018" s="3"/>
      <c r="B1018" s="47"/>
      <c r="C1018" s="38"/>
      <c r="D1018" s="38"/>
    </row>
    <row r="1019" spans="1:4" x14ac:dyDescent="0.25">
      <c r="A1019" s="3"/>
      <c r="B1019" s="47"/>
      <c r="C1019" s="38"/>
      <c r="D1019" s="38"/>
    </row>
    <row r="1020" spans="1:4" x14ac:dyDescent="0.25">
      <c r="A1020" s="3"/>
      <c r="B1020" s="47"/>
      <c r="C1020" s="38"/>
      <c r="D1020" s="38"/>
    </row>
    <row r="1021" spans="1:4" x14ac:dyDescent="0.25">
      <c r="A1021" s="3"/>
      <c r="B1021" s="47"/>
      <c r="C1021" s="38"/>
      <c r="D1021" s="38"/>
    </row>
    <row r="1022" spans="1:4" x14ac:dyDescent="0.25">
      <c r="A1022" s="3"/>
      <c r="B1022" s="47"/>
      <c r="C1022" s="38"/>
      <c r="D1022" s="38"/>
    </row>
    <row r="1023" spans="1:4" x14ac:dyDescent="0.25">
      <c r="A1023" s="3"/>
      <c r="B1023" s="47"/>
      <c r="C1023" s="38"/>
      <c r="D1023" s="38"/>
    </row>
    <row r="1024" spans="1:4" x14ac:dyDescent="0.25">
      <c r="A1024" s="3"/>
      <c r="B1024" s="47"/>
      <c r="C1024" s="38"/>
      <c r="D1024" s="38"/>
    </row>
    <row r="1025" spans="1:4" x14ac:dyDescent="0.25">
      <c r="A1025" s="3"/>
      <c r="B1025" s="47"/>
      <c r="C1025" s="38"/>
      <c r="D1025" s="38"/>
    </row>
    <row r="1026" spans="1:4" x14ac:dyDescent="0.25">
      <c r="A1026" s="3"/>
      <c r="B1026" s="47"/>
      <c r="C1026" s="38"/>
      <c r="D1026" s="38"/>
    </row>
    <row r="1027" spans="1:4" x14ac:dyDescent="0.25">
      <c r="A1027" s="3"/>
      <c r="B1027" s="47"/>
      <c r="C1027" s="38"/>
      <c r="D1027" s="38"/>
    </row>
    <row r="1028" spans="1:4" x14ac:dyDescent="0.25">
      <c r="A1028" s="3"/>
      <c r="B1028" s="47"/>
      <c r="C1028" s="38"/>
      <c r="D1028" s="38"/>
    </row>
    <row r="1029" spans="1:4" x14ac:dyDescent="0.25">
      <c r="A1029" s="3"/>
      <c r="B1029" s="47"/>
      <c r="C1029" s="38"/>
      <c r="D1029" s="38"/>
    </row>
    <row r="1030" spans="1:4" x14ac:dyDescent="0.25">
      <c r="A1030" s="3"/>
      <c r="B1030" s="47"/>
      <c r="C1030" s="38"/>
      <c r="D1030" s="38"/>
    </row>
    <row r="1031" spans="1:4" x14ac:dyDescent="0.25">
      <c r="A1031" s="3"/>
      <c r="B1031" s="47"/>
      <c r="C1031" s="38"/>
      <c r="D1031" s="38"/>
    </row>
    <row r="1032" spans="1:4" x14ac:dyDescent="0.25">
      <c r="A1032" s="3"/>
      <c r="B1032" s="47"/>
      <c r="C1032" s="38"/>
      <c r="D1032" s="38"/>
    </row>
    <row r="1033" spans="1:4" x14ac:dyDescent="0.25">
      <c r="A1033" s="3"/>
      <c r="B1033" s="47"/>
      <c r="C1033" s="38"/>
      <c r="D1033" s="38"/>
    </row>
    <row r="1034" spans="1:4" x14ac:dyDescent="0.25">
      <c r="A1034" s="3"/>
      <c r="B1034" s="47"/>
      <c r="C1034" s="38"/>
      <c r="D1034" s="38"/>
    </row>
    <row r="1035" spans="1:4" x14ac:dyDescent="0.25">
      <c r="A1035" s="3"/>
      <c r="B1035" s="47"/>
      <c r="C1035" s="38"/>
      <c r="D1035" s="38"/>
    </row>
    <row r="1036" spans="1:4" x14ac:dyDescent="0.25">
      <c r="A1036" s="3"/>
      <c r="B1036" s="47"/>
      <c r="C1036" s="38"/>
      <c r="D1036" s="38"/>
    </row>
    <row r="1037" spans="1:4" x14ac:dyDescent="0.25">
      <c r="A1037" s="3"/>
      <c r="B1037" s="47"/>
      <c r="C1037" s="38"/>
      <c r="D1037" s="38"/>
    </row>
    <row r="1038" spans="1:4" x14ac:dyDescent="0.25">
      <c r="A1038" s="3"/>
      <c r="B1038" s="47"/>
      <c r="C1038" s="38"/>
      <c r="D1038" s="38"/>
    </row>
    <row r="1039" spans="1:4" x14ac:dyDescent="0.25">
      <c r="A1039" s="3"/>
      <c r="B1039" s="47"/>
      <c r="C1039" s="38"/>
      <c r="D1039" s="38"/>
    </row>
    <row r="1040" spans="1:4" x14ac:dyDescent="0.25">
      <c r="A1040" s="3"/>
      <c r="B1040" s="47"/>
      <c r="C1040" s="38"/>
      <c r="D1040" s="38"/>
    </row>
    <row r="1041" spans="1:4" x14ac:dyDescent="0.25">
      <c r="A1041" s="3"/>
      <c r="B1041" s="47"/>
      <c r="C1041" s="38"/>
      <c r="D1041" s="38"/>
    </row>
    <row r="1042" spans="1:4" x14ac:dyDescent="0.25">
      <c r="A1042" s="3"/>
      <c r="B1042" s="47"/>
      <c r="C1042" s="38"/>
      <c r="D1042" s="38"/>
    </row>
    <row r="1043" spans="1:4" x14ac:dyDescent="0.25">
      <c r="A1043" s="3"/>
      <c r="B1043" s="47"/>
      <c r="C1043" s="38"/>
      <c r="D1043" s="38"/>
    </row>
    <row r="1044" spans="1:4" x14ac:dyDescent="0.25">
      <c r="A1044" s="3"/>
      <c r="B1044" s="47"/>
      <c r="C1044" s="38"/>
      <c r="D1044" s="38"/>
    </row>
    <row r="1045" spans="1:4" x14ac:dyDescent="0.25">
      <c r="A1045" s="3"/>
      <c r="B1045" s="47"/>
      <c r="C1045" s="38"/>
      <c r="D1045" s="38"/>
    </row>
    <row r="1046" spans="1:4" x14ac:dyDescent="0.25">
      <c r="A1046" s="3"/>
      <c r="B1046" s="47"/>
      <c r="C1046" s="38"/>
      <c r="D1046" s="38"/>
    </row>
    <row r="1047" spans="1:4" x14ac:dyDescent="0.25">
      <c r="A1047" s="3"/>
      <c r="B1047" s="47"/>
      <c r="C1047" s="38"/>
      <c r="D1047" s="38"/>
    </row>
    <row r="1048" spans="1:4" x14ac:dyDescent="0.25">
      <c r="A1048" s="3"/>
      <c r="B1048" s="47"/>
      <c r="C1048" s="38"/>
      <c r="D1048" s="38"/>
    </row>
    <row r="1049" spans="1:4" x14ac:dyDescent="0.25">
      <c r="A1049" s="3"/>
      <c r="B1049" s="47"/>
      <c r="C1049" s="38"/>
      <c r="D1049" s="38"/>
    </row>
    <row r="1050" spans="1:4" x14ac:dyDescent="0.25">
      <c r="A1050" s="3"/>
      <c r="B1050" s="47"/>
      <c r="C1050" s="38"/>
      <c r="D1050" s="38"/>
    </row>
    <row r="1051" spans="1:4" x14ac:dyDescent="0.25">
      <c r="A1051" s="3"/>
      <c r="B1051" s="47"/>
      <c r="C1051" s="38"/>
      <c r="D1051" s="38"/>
    </row>
    <row r="1052" spans="1:4" x14ac:dyDescent="0.25">
      <c r="A1052" s="3"/>
      <c r="B1052" s="47"/>
      <c r="C1052" s="38"/>
      <c r="D1052" s="38"/>
    </row>
    <row r="1053" spans="1:4" x14ac:dyDescent="0.25">
      <c r="A1053" s="3"/>
      <c r="B1053" s="47"/>
      <c r="C1053" s="38"/>
      <c r="D1053" s="38"/>
    </row>
    <row r="1054" spans="1:4" x14ac:dyDescent="0.25">
      <c r="A1054" s="3"/>
      <c r="B1054" s="47"/>
      <c r="C1054" s="38"/>
      <c r="D1054" s="38"/>
    </row>
    <row r="1055" spans="1:4" x14ac:dyDescent="0.25">
      <c r="A1055" s="3"/>
      <c r="B1055" s="47"/>
      <c r="C1055" s="38"/>
      <c r="D1055" s="38"/>
    </row>
    <row r="1056" spans="1:4" x14ac:dyDescent="0.25">
      <c r="A1056" s="3"/>
      <c r="B1056" s="47"/>
      <c r="C1056" s="38"/>
      <c r="D1056" s="38"/>
    </row>
    <row r="1057" spans="1:4" x14ac:dyDescent="0.25">
      <c r="A1057" s="3"/>
      <c r="B1057" s="47"/>
      <c r="C1057" s="38"/>
      <c r="D1057" s="38"/>
    </row>
    <row r="1058" spans="1:4" x14ac:dyDescent="0.25">
      <c r="A1058" s="3"/>
      <c r="B1058" s="47"/>
      <c r="C1058" s="38"/>
      <c r="D1058" s="38"/>
    </row>
    <row r="1059" spans="1:4" x14ac:dyDescent="0.25">
      <c r="A1059" s="3"/>
      <c r="B1059" s="47"/>
      <c r="C1059" s="38"/>
      <c r="D1059" s="38"/>
    </row>
    <row r="1060" spans="1:4" x14ac:dyDescent="0.25">
      <c r="A1060" s="3"/>
      <c r="B1060" s="47"/>
      <c r="C1060" s="38"/>
      <c r="D1060" s="38"/>
    </row>
    <row r="1061" spans="1:4" x14ac:dyDescent="0.25">
      <c r="A1061" s="3"/>
      <c r="B1061" s="47"/>
      <c r="C1061" s="38"/>
      <c r="D1061" s="38"/>
    </row>
    <row r="1062" spans="1:4" x14ac:dyDescent="0.25">
      <c r="A1062" s="3"/>
      <c r="B1062" s="47"/>
      <c r="C1062" s="38"/>
      <c r="D1062" s="38"/>
    </row>
    <row r="1063" spans="1:4" x14ac:dyDescent="0.25">
      <c r="A1063" s="3"/>
      <c r="B1063" s="47"/>
      <c r="C1063" s="38"/>
      <c r="D1063" s="38"/>
    </row>
    <row r="1064" spans="1:4" x14ac:dyDescent="0.25">
      <c r="A1064" s="3"/>
      <c r="B1064" s="47"/>
      <c r="C1064" s="38"/>
      <c r="D1064" s="38"/>
    </row>
    <row r="1065" spans="1:4" x14ac:dyDescent="0.25">
      <c r="A1065" s="3"/>
      <c r="B1065" s="47"/>
      <c r="C1065" s="38"/>
      <c r="D1065" s="38"/>
    </row>
    <row r="1066" spans="1:4" x14ac:dyDescent="0.25">
      <c r="A1066" s="3"/>
      <c r="B1066" s="47"/>
      <c r="C1066" s="38"/>
      <c r="D1066" s="38"/>
    </row>
    <row r="1067" spans="1:4" x14ac:dyDescent="0.25">
      <c r="A1067" s="3"/>
      <c r="B1067" s="47"/>
      <c r="C1067" s="38"/>
      <c r="D1067" s="38"/>
    </row>
    <row r="1068" spans="1:4" x14ac:dyDescent="0.25">
      <c r="A1068" s="3"/>
      <c r="B1068" s="47"/>
      <c r="C1068" s="38"/>
      <c r="D1068" s="38"/>
    </row>
    <row r="1069" spans="1:4" x14ac:dyDescent="0.25">
      <c r="A1069" s="3"/>
      <c r="B1069" s="47"/>
      <c r="C1069" s="38"/>
      <c r="D1069" s="38"/>
    </row>
    <row r="1070" spans="1:4" x14ac:dyDescent="0.25">
      <c r="A1070" s="3"/>
      <c r="B1070" s="47"/>
      <c r="C1070" s="38"/>
      <c r="D1070" s="38"/>
    </row>
    <row r="1071" spans="1:4" x14ac:dyDescent="0.25">
      <c r="A1071" s="3"/>
      <c r="B1071" s="47"/>
      <c r="C1071" s="38"/>
      <c r="D1071" s="38"/>
    </row>
    <row r="1072" spans="1:4" x14ac:dyDescent="0.25">
      <c r="A1072" s="3"/>
      <c r="B1072" s="47"/>
      <c r="C1072" s="38"/>
      <c r="D1072" s="38"/>
    </row>
    <row r="1073" spans="1:4" x14ac:dyDescent="0.25">
      <c r="A1073" s="3"/>
      <c r="B1073" s="47"/>
      <c r="C1073" s="38"/>
      <c r="D1073" s="38"/>
    </row>
    <row r="1074" spans="1:4" x14ac:dyDescent="0.25">
      <c r="A1074" s="3"/>
      <c r="B1074" s="47"/>
      <c r="C1074" s="38"/>
      <c r="D1074" s="38"/>
    </row>
    <row r="1075" spans="1:4" x14ac:dyDescent="0.25">
      <c r="A1075" s="3"/>
      <c r="B1075" s="47"/>
      <c r="C1075" s="38"/>
      <c r="D1075" s="38"/>
    </row>
    <row r="1076" spans="1:4" x14ac:dyDescent="0.25">
      <c r="A1076" s="3"/>
      <c r="B1076" s="47"/>
      <c r="C1076" s="38"/>
      <c r="D1076" s="38"/>
    </row>
    <row r="1077" spans="1:4" x14ac:dyDescent="0.25">
      <c r="A1077" s="3"/>
      <c r="B1077" s="47"/>
      <c r="C1077" s="38"/>
      <c r="D1077" s="38"/>
    </row>
    <row r="1078" spans="1:4" x14ac:dyDescent="0.25">
      <c r="A1078" s="3"/>
      <c r="B1078" s="47"/>
      <c r="C1078" s="38"/>
      <c r="D1078" s="38"/>
    </row>
    <row r="1079" spans="1:4" x14ac:dyDescent="0.25">
      <c r="A1079" s="3"/>
      <c r="B1079" s="47"/>
      <c r="C1079" s="38"/>
      <c r="D1079" s="38"/>
    </row>
    <row r="1080" spans="1:4" x14ac:dyDescent="0.25">
      <c r="A1080" s="3"/>
      <c r="B1080" s="47"/>
      <c r="C1080" s="38"/>
      <c r="D1080" s="38"/>
    </row>
    <row r="1081" spans="1:4" x14ac:dyDescent="0.25">
      <c r="A1081" s="3"/>
      <c r="B1081" s="47"/>
      <c r="C1081" s="38"/>
      <c r="D1081" s="38"/>
    </row>
    <row r="1082" spans="1:4" x14ac:dyDescent="0.25">
      <c r="A1082" s="3"/>
      <c r="B1082" s="47"/>
      <c r="C1082" s="38"/>
      <c r="D1082" s="38"/>
    </row>
    <row r="1083" spans="1:4" x14ac:dyDescent="0.25">
      <c r="A1083" s="3"/>
      <c r="B1083" s="47"/>
      <c r="C1083" s="38"/>
      <c r="D1083" s="38"/>
    </row>
    <row r="1084" spans="1:4" x14ac:dyDescent="0.25">
      <c r="A1084" s="3"/>
      <c r="B1084" s="47"/>
      <c r="C1084" s="38"/>
      <c r="D1084" s="38"/>
    </row>
    <row r="1085" spans="1:4" x14ac:dyDescent="0.25">
      <c r="A1085" s="3"/>
      <c r="B1085" s="47"/>
      <c r="C1085" s="38"/>
      <c r="D1085" s="38"/>
    </row>
    <row r="1086" spans="1:4" x14ac:dyDescent="0.25">
      <c r="A1086" s="3"/>
      <c r="B1086" s="47"/>
      <c r="C1086" s="38"/>
      <c r="D1086" s="38"/>
    </row>
    <row r="1087" spans="1:4" x14ac:dyDescent="0.25">
      <c r="A1087" s="3"/>
      <c r="B1087" s="47"/>
      <c r="C1087" s="38"/>
      <c r="D1087" s="38"/>
    </row>
    <row r="1088" spans="1:4" x14ac:dyDescent="0.25">
      <c r="A1088" s="3"/>
      <c r="B1088" s="47"/>
      <c r="C1088" s="38"/>
      <c r="D1088" s="38"/>
    </row>
    <row r="1089" spans="1:4" x14ac:dyDescent="0.25">
      <c r="A1089" s="3"/>
      <c r="B1089" s="47"/>
      <c r="C1089" s="38"/>
      <c r="D1089" s="38"/>
    </row>
    <row r="1090" spans="1:4" x14ac:dyDescent="0.25">
      <c r="A1090" s="3"/>
      <c r="B1090" s="47"/>
      <c r="C1090" s="38"/>
      <c r="D1090" s="38"/>
    </row>
    <row r="1091" spans="1:4" x14ac:dyDescent="0.25">
      <c r="A1091" s="3"/>
      <c r="B1091" s="47"/>
      <c r="C1091" s="38"/>
      <c r="D1091" s="38"/>
    </row>
    <row r="1092" spans="1:4" x14ac:dyDescent="0.25">
      <c r="A1092" s="3"/>
      <c r="B1092" s="47"/>
      <c r="C1092" s="38"/>
      <c r="D1092" s="38"/>
    </row>
    <row r="1093" spans="1:4" x14ac:dyDescent="0.25">
      <c r="A1093" s="3"/>
      <c r="B1093" s="47"/>
      <c r="C1093" s="38"/>
      <c r="D1093" s="38"/>
    </row>
    <row r="1094" spans="1:4" x14ac:dyDescent="0.25">
      <c r="A1094" s="3"/>
      <c r="B1094" s="47"/>
      <c r="C1094" s="38"/>
      <c r="D1094" s="38"/>
    </row>
    <row r="1095" spans="1:4" x14ac:dyDescent="0.25">
      <c r="A1095" s="3"/>
      <c r="B1095" s="47"/>
      <c r="C1095" s="38"/>
      <c r="D1095" s="38"/>
    </row>
    <row r="1096" spans="1:4" x14ac:dyDescent="0.25">
      <c r="A1096" s="3"/>
      <c r="B1096" s="47"/>
      <c r="C1096" s="38"/>
      <c r="D1096" s="38"/>
    </row>
    <row r="1097" spans="1:4" x14ac:dyDescent="0.25">
      <c r="A1097" s="3"/>
      <c r="B1097" s="47"/>
      <c r="C1097" s="38"/>
      <c r="D1097" s="38"/>
    </row>
    <row r="1098" spans="1:4" x14ac:dyDescent="0.25">
      <c r="A1098" s="3"/>
      <c r="B1098" s="47"/>
      <c r="C1098" s="38"/>
      <c r="D1098" s="38"/>
    </row>
    <row r="1099" spans="1:4" x14ac:dyDescent="0.25">
      <c r="A1099" s="3"/>
      <c r="B1099" s="47"/>
      <c r="C1099" s="38"/>
      <c r="D1099" s="38"/>
    </row>
    <row r="1100" spans="1:4" x14ac:dyDescent="0.25">
      <c r="A1100" s="3"/>
      <c r="B1100" s="47"/>
      <c r="C1100" s="38"/>
      <c r="D1100" s="38"/>
    </row>
    <row r="1101" spans="1:4" x14ac:dyDescent="0.25">
      <c r="A1101" s="3"/>
      <c r="B1101" s="47"/>
      <c r="C1101" s="38"/>
      <c r="D1101" s="38"/>
    </row>
    <row r="1102" spans="1:4" x14ac:dyDescent="0.25">
      <c r="A1102" s="3"/>
      <c r="B1102" s="47"/>
      <c r="C1102" s="38"/>
      <c r="D1102" s="38"/>
    </row>
    <row r="1103" spans="1:4" x14ac:dyDescent="0.25">
      <c r="A1103" s="3"/>
      <c r="B1103" s="47"/>
      <c r="C1103" s="38"/>
      <c r="D1103" s="38"/>
    </row>
    <row r="1104" spans="1:4" x14ac:dyDescent="0.25">
      <c r="A1104" s="3"/>
      <c r="B1104" s="47"/>
      <c r="C1104" s="38"/>
      <c r="D1104" s="38"/>
    </row>
    <row r="1105" spans="1:4" x14ac:dyDescent="0.25">
      <c r="A1105" s="3"/>
      <c r="B1105" s="47"/>
      <c r="C1105" s="38"/>
      <c r="D1105" s="38"/>
    </row>
    <row r="1106" spans="1:4" x14ac:dyDescent="0.25">
      <c r="A1106" s="3"/>
      <c r="B1106" s="47"/>
      <c r="C1106" s="38"/>
      <c r="D1106" s="38"/>
    </row>
    <row r="1107" spans="1:4" x14ac:dyDescent="0.25">
      <c r="A1107" s="3"/>
      <c r="B1107" s="47"/>
      <c r="C1107" s="38"/>
      <c r="D1107" s="38"/>
    </row>
    <row r="1108" spans="1:4" x14ac:dyDescent="0.25">
      <c r="A1108" s="3"/>
      <c r="B1108" s="47"/>
      <c r="C1108" s="38"/>
      <c r="D1108" s="38"/>
    </row>
    <row r="1109" spans="1:4" x14ac:dyDescent="0.25">
      <c r="A1109" s="3"/>
      <c r="B1109" s="47"/>
      <c r="C1109" s="38"/>
      <c r="D1109" s="38"/>
    </row>
    <row r="1110" spans="1:4" x14ac:dyDescent="0.25">
      <c r="A1110" s="3"/>
      <c r="B1110" s="47"/>
      <c r="C1110" s="38"/>
      <c r="D1110" s="38"/>
    </row>
    <row r="1111" spans="1:4" x14ac:dyDescent="0.25">
      <c r="A1111" s="3"/>
      <c r="B1111" s="47"/>
      <c r="C1111" s="38"/>
      <c r="D1111" s="38"/>
    </row>
    <row r="1112" spans="1:4" x14ac:dyDescent="0.25">
      <c r="A1112" s="3"/>
      <c r="B1112" s="47"/>
      <c r="C1112" s="38"/>
      <c r="D1112" s="38"/>
    </row>
    <row r="1113" spans="1:4" x14ac:dyDescent="0.25">
      <c r="A1113" s="3"/>
      <c r="B1113" s="47"/>
      <c r="C1113" s="38"/>
      <c r="D1113" s="38"/>
    </row>
    <row r="1114" spans="1:4" x14ac:dyDescent="0.25">
      <c r="A1114" s="3"/>
      <c r="B1114" s="47"/>
      <c r="C1114" s="38"/>
      <c r="D1114" s="38"/>
    </row>
    <row r="1115" spans="1:4" x14ac:dyDescent="0.25">
      <c r="A1115" s="3"/>
      <c r="B1115" s="47"/>
      <c r="C1115" s="38"/>
      <c r="D1115" s="38"/>
    </row>
    <row r="1116" spans="1:4" x14ac:dyDescent="0.25">
      <c r="A1116" s="3"/>
      <c r="B1116" s="47"/>
      <c r="C1116" s="38"/>
      <c r="D1116" s="38"/>
    </row>
    <row r="1117" spans="1:4" x14ac:dyDescent="0.25">
      <c r="A1117" s="3"/>
      <c r="B1117" s="47"/>
      <c r="C1117" s="38"/>
      <c r="D1117" s="38"/>
    </row>
    <row r="1118" spans="1:4" x14ac:dyDescent="0.25">
      <c r="A1118" s="3"/>
      <c r="B1118" s="47"/>
      <c r="C1118" s="38"/>
      <c r="D1118" s="38"/>
    </row>
    <row r="1119" spans="1:4" x14ac:dyDescent="0.25">
      <c r="A1119" s="3"/>
      <c r="B1119" s="47"/>
      <c r="C1119" s="38"/>
      <c r="D1119" s="38"/>
    </row>
  </sheetData>
  <autoFilter ref="A1:D614" xr:uid="{5BADF95E-1B21-4AE2-A44A-E37705329CD6}"/>
  <phoneticPr fontId="1" type="noConversion"/>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59FA5-A6E2-42BF-8F82-531CA352C7FF}">
  <dimension ref="A1:Q43"/>
  <sheetViews>
    <sheetView showGridLines="0" workbookViewId="0">
      <selection activeCell="B33" sqref="B33"/>
    </sheetView>
  </sheetViews>
  <sheetFormatPr defaultColWidth="9" defaultRowHeight="14" x14ac:dyDescent="0.25"/>
  <cols>
    <col min="1" max="1" width="13.54296875" style="9" bestFit="1" customWidth="1"/>
    <col min="2" max="2" width="41.90625" style="9" customWidth="1"/>
    <col min="3" max="3" width="14.08984375" style="9" bestFit="1" customWidth="1"/>
    <col min="4" max="4" width="9" style="9"/>
    <col min="5" max="5" width="9.81640625" style="9" hidden="1" customWidth="1"/>
    <col min="6" max="6" width="11.36328125" style="9" hidden="1" customWidth="1"/>
    <col min="7" max="8" width="0" style="9" hidden="1" customWidth="1"/>
    <col min="9" max="9" width="13.54296875" style="9" hidden="1" customWidth="1"/>
    <col min="10" max="10" width="4.453125" style="9" hidden="1" customWidth="1"/>
    <col min="11" max="11" width="14.08984375" style="9" hidden="1" customWidth="1"/>
    <col min="12" max="12" width="3.1796875" style="9" hidden="1" customWidth="1"/>
    <col min="13" max="13" width="14.08984375" style="9" hidden="1" customWidth="1"/>
    <col min="14" max="14" width="3.90625" style="9" hidden="1" customWidth="1"/>
    <col min="15" max="15" width="14.6328125" style="9" hidden="1" customWidth="1"/>
    <col min="16" max="16384" width="9" style="9"/>
  </cols>
  <sheetData>
    <row r="1" spans="1:17" x14ac:dyDescent="0.25">
      <c r="A1" s="7" t="s">
        <v>289</v>
      </c>
      <c r="B1" s="8" t="s">
        <v>293</v>
      </c>
      <c r="C1" s="8" t="s">
        <v>294</v>
      </c>
      <c r="E1" s="10" t="s">
        <v>295</v>
      </c>
      <c r="F1" s="10" t="s">
        <v>296</v>
      </c>
      <c r="G1" s="10" t="s">
        <v>297</v>
      </c>
      <c r="I1" s="7" t="s">
        <v>289</v>
      </c>
      <c r="K1" s="8" t="s">
        <v>293</v>
      </c>
      <c r="M1" s="8" t="s">
        <v>294</v>
      </c>
      <c r="O1" s="31" t="s">
        <v>537</v>
      </c>
      <c r="P1"/>
      <c r="Q1"/>
    </row>
    <row r="2" spans="1:17" x14ac:dyDescent="0.25">
      <c r="A2" s="11" t="s">
        <v>298</v>
      </c>
      <c r="B2" s="11"/>
      <c r="C2" s="12"/>
      <c r="E2" s="9" t="s">
        <v>299</v>
      </c>
      <c r="F2" s="9" t="s">
        <v>300</v>
      </c>
      <c r="G2" s="9" t="s">
        <v>301</v>
      </c>
      <c r="I2" s="11" t="s">
        <v>298</v>
      </c>
      <c r="K2" s="9" t="s">
        <v>302</v>
      </c>
      <c r="M2" s="12" t="s">
        <v>303</v>
      </c>
      <c r="O2" t="s">
        <v>531</v>
      </c>
      <c r="P2"/>
      <c r="Q2"/>
    </row>
    <row r="3" spans="1:17" x14ac:dyDescent="0.25">
      <c r="A3" s="70" t="s">
        <v>304</v>
      </c>
      <c r="B3" s="70" t="s">
        <v>305</v>
      </c>
      <c r="C3" s="12" t="s">
        <v>303</v>
      </c>
      <c r="E3" s="9" t="s">
        <v>306</v>
      </c>
      <c r="F3" s="9" t="s">
        <v>307</v>
      </c>
      <c r="G3" s="9" t="s">
        <v>308</v>
      </c>
      <c r="I3" s="11" t="s">
        <v>304</v>
      </c>
      <c r="K3" s="9" t="s">
        <v>309</v>
      </c>
      <c r="M3" s="12" t="s">
        <v>310</v>
      </c>
      <c r="O3" t="s">
        <v>533</v>
      </c>
      <c r="P3"/>
      <c r="Q3"/>
    </row>
    <row r="4" spans="1:17" x14ac:dyDescent="0.25">
      <c r="A4" s="70"/>
      <c r="B4" s="70"/>
      <c r="C4" s="12" t="s">
        <v>310</v>
      </c>
      <c r="E4" s="9" t="s">
        <v>311</v>
      </c>
      <c r="F4" s="9" t="s">
        <v>312</v>
      </c>
      <c r="G4" s="9" t="s">
        <v>313</v>
      </c>
      <c r="I4" s="12" t="s">
        <v>314</v>
      </c>
      <c r="K4" s="9" t="s">
        <v>315</v>
      </c>
      <c r="M4" s="12" t="s">
        <v>316</v>
      </c>
      <c r="O4" t="s">
        <v>386</v>
      </c>
      <c r="P4"/>
      <c r="Q4"/>
    </row>
    <row r="5" spans="1:17" x14ac:dyDescent="0.25">
      <c r="A5" s="70"/>
      <c r="B5" s="12" t="s">
        <v>317</v>
      </c>
      <c r="C5" s="12"/>
      <c r="E5" s="9" t="s">
        <v>318</v>
      </c>
      <c r="F5" s="9" t="s">
        <v>319</v>
      </c>
      <c r="I5" s="12" t="s">
        <v>320</v>
      </c>
      <c r="K5" s="9" t="s">
        <v>321</v>
      </c>
      <c r="M5" s="12" t="s">
        <v>322</v>
      </c>
      <c r="O5" t="s">
        <v>528</v>
      </c>
      <c r="P5"/>
      <c r="Q5"/>
    </row>
    <row r="6" spans="1:17" x14ac:dyDescent="0.25">
      <c r="A6" s="70"/>
      <c r="B6" s="70" t="s">
        <v>221</v>
      </c>
      <c r="C6" s="12" t="s">
        <v>316</v>
      </c>
      <c r="E6" s="9" t="s">
        <v>323</v>
      </c>
      <c r="F6" s="9" t="s">
        <v>324</v>
      </c>
      <c r="I6" s="11" t="s">
        <v>325</v>
      </c>
      <c r="K6" s="9" t="s">
        <v>326</v>
      </c>
      <c r="M6" s="12" t="s">
        <v>327</v>
      </c>
      <c r="O6" t="s">
        <v>534</v>
      </c>
      <c r="P6"/>
      <c r="Q6"/>
    </row>
    <row r="7" spans="1:17" x14ac:dyDescent="0.25">
      <c r="A7" s="70"/>
      <c r="B7" s="70"/>
      <c r="C7" s="12" t="s">
        <v>322</v>
      </c>
      <c r="E7" s="9" t="s">
        <v>328</v>
      </c>
      <c r="F7" s="9" t="s">
        <v>329</v>
      </c>
      <c r="I7" s="12" t="s">
        <v>257</v>
      </c>
      <c r="K7" s="9" t="s">
        <v>330</v>
      </c>
      <c r="M7" s="12" t="s">
        <v>331</v>
      </c>
      <c r="O7" t="s">
        <v>535</v>
      </c>
      <c r="P7"/>
      <c r="Q7"/>
    </row>
    <row r="8" spans="1:17" x14ac:dyDescent="0.25">
      <c r="A8" s="71" t="s">
        <v>317</v>
      </c>
      <c r="B8" s="42" t="s">
        <v>804</v>
      </c>
      <c r="C8" s="12"/>
      <c r="I8" s="12"/>
      <c r="M8" s="12"/>
      <c r="O8"/>
      <c r="P8"/>
      <c r="Q8"/>
    </row>
    <row r="9" spans="1:17" x14ac:dyDescent="0.25">
      <c r="A9" s="72"/>
      <c r="B9" s="42" t="s">
        <v>805</v>
      </c>
      <c r="C9" s="12"/>
      <c r="I9" s="12"/>
      <c r="M9" s="12"/>
      <c r="O9"/>
      <c r="P9"/>
      <c r="Q9"/>
    </row>
    <row r="10" spans="1:17" x14ac:dyDescent="0.25">
      <c r="A10" s="73"/>
      <c r="B10" s="42" t="s">
        <v>806</v>
      </c>
      <c r="C10" s="12"/>
      <c r="I10" s="12"/>
      <c r="M10" s="12"/>
      <c r="O10"/>
      <c r="P10"/>
      <c r="Q10"/>
    </row>
    <row r="11" spans="1:17" x14ac:dyDescent="0.25">
      <c r="A11" s="12" t="s">
        <v>314</v>
      </c>
      <c r="B11" s="12"/>
      <c r="C11" s="12"/>
      <c r="E11" s="9" t="s">
        <v>332</v>
      </c>
      <c r="F11" s="9" t="s">
        <v>333</v>
      </c>
      <c r="I11" s="11" t="s">
        <v>260</v>
      </c>
      <c r="K11" s="9" t="s">
        <v>334</v>
      </c>
      <c r="M11" s="12" t="s">
        <v>335</v>
      </c>
      <c r="O11" t="s">
        <v>443</v>
      </c>
      <c r="P11"/>
      <c r="Q11"/>
    </row>
    <row r="12" spans="1:17" x14ac:dyDescent="0.25">
      <c r="A12" s="12" t="s">
        <v>320</v>
      </c>
      <c r="B12" s="12"/>
      <c r="C12" s="12"/>
      <c r="E12" s="9" t="s">
        <v>336</v>
      </c>
      <c r="F12" s="9" t="s">
        <v>337</v>
      </c>
      <c r="I12" s="12" t="s">
        <v>338</v>
      </c>
      <c r="K12" s="9" t="s">
        <v>339</v>
      </c>
      <c r="M12" s="12" t="s">
        <v>340</v>
      </c>
      <c r="O12" t="s">
        <v>536</v>
      </c>
      <c r="P12"/>
      <c r="Q12"/>
    </row>
    <row r="13" spans="1:17" x14ac:dyDescent="0.25">
      <c r="A13" s="70" t="s">
        <v>325</v>
      </c>
      <c r="B13" s="70" t="s">
        <v>244</v>
      </c>
      <c r="C13" s="12" t="s">
        <v>327</v>
      </c>
      <c r="E13" s="9" t="s">
        <v>341</v>
      </c>
      <c r="F13" s="9" t="s">
        <v>342</v>
      </c>
      <c r="I13" s="12" t="s">
        <v>343</v>
      </c>
      <c r="K13" s="9" t="s">
        <v>10</v>
      </c>
      <c r="M13" s="12" t="s">
        <v>317</v>
      </c>
      <c r="P13"/>
      <c r="Q13"/>
    </row>
    <row r="14" spans="1:17" x14ac:dyDescent="0.25">
      <c r="A14" s="70"/>
      <c r="B14" s="70"/>
      <c r="C14" s="12" t="s">
        <v>331</v>
      </c>
      <c r="E14" s="9" t="s">
        <v>344</v>
      </c>
      <c r="F14" s="9" t="s">
        <v>345</v>
      </c>
      <c r="I14" s="11" t="s">
        <v>346</v>
      </c>
      <c r="K14" s="9" t="s">
        <v>347</v>
      </c>
      <c r="M14" s="12" t="s">
        <v>348</v>
      </c>
      <c r="P14"/>
      <c r="Q14"/>
    </row>
    <row r="15" spans="1:17" x14ac:dyDescent="0.25">
      <c r="A15" s="70"/>
      <c r="B15" s="70"/>
      <c r="C15" s="12" t="s">
        <v>335</v>
      </c>
      <c r="E15" s="9" t="s">
        <v>349</v>
      </c>
      <c r="K15" s="9" t="s">
        <v>350</v>
      </c>
      <c r="M15" s="12" t="s">
        <v>351</v>
      </c>
      <c r="P15"/>
      <c r="Q15"/>
    </row>
    <row r="16" spans="1:17" x14ac:dyDescent="0.25">
      <c r="A16" s="70"/>
      <c r="B16" s="70"/>
      <c r="C16" s="12" t="s">
        <v>340</v>
      </c>
      <c r="E16" s="9" t="s">
        <v>352</v>
      </c>
      <c r="K16" s="9" t="s">
        <v>298</v>
      </c>
      <c r="M16" s="12" t="s">
        <v>353</v>
      </c>
      <c r="P16"/>
      <c r="Q16"/>
    </row>
    <row r="17" spans="1:17" x14ac:dyDescent="0.25">
      <c r="A17" s="70"/>
      <c r="B17" s="70"/>
      <c r="C17" s="12" t="s">
        <v>317</v>
      </c>
      <c r="E17" s="9" t="s">
        <v>354</v>
      </c>
      <c r="K17" s="9" t="s">
        <v>355</v>
      </c>
      <c r="M17" s="12" t="s">
        <v>260</v>
      </c>
      <c r="O17"/>
      <c r="P17"/>
      <c r="Q17"/>
    </row>
    <row r="18" spans="1:17" x14ac:dyDescent="0.25">
      <c r="A18" s="12" t="s">
        <v>257</v>
      </c>
      <c r="B18" s="12"/>
      <c r="C18" s="12"/>
      <c r="E18" s="9" t="s">
        <v>356</v>
      </c>
      <c r="M18" s="12" t="s">
        <v>357</v>
      </c>
      <c r="O18"/>
      <c r="P18"/>
      <c r="Q18"/>
    </row>
    <row r="19" spans="1:17" x14ac:dyDescent="0.25">
      <c r="A19" s="70" t="s">
        <v>260</v>
      </c>
      <c r="B19" s="70" t="s">
        <v>358</v>
      </c>
      <c r="C19" s="12" t="s">
        <v>348</v>
      </c>
      <c r="E19" s="9" t="s">
        <v>359</v>
      </c>
      <c r="O19"/>
      <c r="P19"/>
      <c r="Q19"/>
    </row>
    <row r="20" spans="1:17" x14ac:dyDescent="0.25">
      <c r="A20" s="70"/>
      <c r="B20" s="70"/>
      <c r="C20" s="12" t="s">
        <v>351</v>
      </c>
      <c r="E20" s="9" t="s">
        <v>360</v>
      </c>
      <c r="O20"/>
      <c r="P20"/>
      <c r="Q20"/>
    </row>
    <row r="21" spans="1:17" x14ac:dyDescent="0.25">
      <c r="A21" s="70"/>
      <c r="B21" s="12" t="s">
        <v>348</v>
      </c>
      <c r="C21" s="12"/>
      <c r="E21" s="9" t="s">
        <v>361</v>
      </c>
      <c r="O21"/>
      <c r="P21"/>
      <c r="Q21"/>
    </row>
    <row r="22" spans="1:17" x14ac:dyDescent="0.25">
      <c r="A22" s="70"/>
      <c r="B22" s="12" t="s">
        <v>362</v>
      </c>
      <c r="C22" s="12"/>
      <c r="E22" s="9" t="s">
        <v>363</v>
      </c>
      <c r="F22" s="9" t="str">
        <f>_xlfn.TEXTJOIN(",",,F2:F14)</f>
        <v>常态化跟进,丢标,方案,放弃,交流,控标,强跟进,申报,支持,中标</v>
      </c>
    </row>
    <row r="23" spans="1:17" x14ac:dyDescent="0.25">
      <c r="A23" s="70"/>
      <c r="B23" s="12" t="s">
        <v>351</v>
      </c>
      <c r="C23" s="12"/>
      <c r="E23" s="9" t="s">
        <v>364</v>
      </c>
      <c r="F23" s="34" t="s">
        <v>704</v>
      </c>
    </row>
    <row r="24" spans="1:17" x14ac:dyDescent="0.25">
      <c r="A24" s="70"/>
      <c r="B24" s="12" t="s">
        <v>261</v>
      </c>
      <c r="C24" s="12"/>
      <c r="E24" s="9" t="s">
        <v>365</v>
      </c>
    </row>
    <row r="25" spans="1:17" x14ac:dyDescent="0.25">
      <c r="A25" s="12" t="s">
        <v>338</v>
      </c>
      <c r="B25" s="12"/>
      <c r="C25" s="12"/>
      <c r="E25" s="9" t="s">
        <v>366</v>
      </c>
    </row>
    <row r="26" spans="1:17" x14ac:dyDescent="0.25">
      <c r="A26" s="12" t="s">
        <v>343</v>
      </c>
      <c r="B26" s="12" t="s">
        <v>327</v>
      </c>
      <c r="C26" s="12" t="s">
        <v>353</v>
      </c>
      <c r="E26" s="9" t="s">
        <v>367</v>
      </c>
    </row>
    <row r="27" spans="1:17" x14ac:dyDescent="0.25">
      <c r="A27" s="70" t="s">
        <v>346</v>
      </c>
      <c r="B27" s="12" t="s">
        <v>368</v>
      </c>
      <c r="C27" s="12"/>
      <c r="E27" s="9" t="s">
        <v>369</v>
      </c>
    </row>
    <row r="28" spans="1:17" x14ac:dyDescent="0.25">
      <c r="A28" s="70"/>
      <c r="B28" s="12" t="s">
        <v>357</v>
      </c>
      <c r="C28" s="12" t="s">
        <v>260</v>
      </c>
      <c r="E28" s="9" t="s">
        <v>370</v>
      </c>
    </row>
    <row r="29" spans="1:17" x14ac:dyDescent="0.25">
      <c r="A29" s="70"/>
      <c r="B29" s="12" t="s">
        <v>371</v>
      </c>
      <c r="C29" s="12" t="s">
        <v>357</v>
      </c>
      <c r="E29" s="9" t="s">
        <v>372</v>
      </c>
    </row>
    <row r="30" spans="1:17" x14ac:dyDescent="0.25">
      <c r="E30" s="9" t="s">
        <v>373</v>
      </c>
    </row>
    <row r="31" spans="1:17" x14ac:dyDescent="0.25">
      <c r="E31" s="9" t="s">
        <v>374</v>
      </c>
    </row>
    <row r="32" spans="1:17" x14ac:dyDescent="0.25">
      <c r="E32" s="9" t="s">
        <v>375</v>
      </c>
    </row>
    <row r="33" spans="1:5" x14ac:dyDescent="0.25">
      <c r="A33" s="7" t="s">
        <v>289</v>
      </c>
      <c r="B33" s="9" t="str">
        <f>_xlfn.TEXTJOIN(",",,A34:A43)</f>
        <v>智慧校园,大数据,电力绿智食堂,设备采购,物联,信创,一卡通,智慧后勤,智慧教室,总包</v>
      </c>
      <c r="E33" s="9" t="s">
        <v>376</v>
      </c>
    </row>
    <row r="34" spans="1:5" x14ac:dyDescent="0.25">
      <c r="A34" s="11" t="s">
        <v>298</v>
      </c>
      <c r="B34" s="34" t="s">
        <v>707</v>
      </c>
      <c r="E34" s="9" t="s">
        <v>377</v>
      </c>
    </row>
    <row r="35" spans="1:5" x14ac:dyDescent="0.25">
      <c r="A35" s="11" t="s">
        <v>304</v>
      </c>
      <c r="E35" s="9" t="s">
        <v>378</v>
      </c>
    </row>
    <row r="36" spans="1:5" x14ac:dyDescent="0.25">
      <c r="A36" s="12" t="s">
        <v>314</v>
      </c>
      <c r="E36" s="9" t="s">
        <v>379</v>
      </c>
    </row>
    <row r="37" spans="1:5" x14ac:dyDescent="0.25">
      <c r="A37" s="12" t="s">
        <v>320</v>
      </c>
      <c r="E37" s="9" t="s">
        <v>380</v>
      </c>
    </row>
    <row r="38" spans="1:5" x14ac:dyDescent="0.25">
      <c r="A38" s="11" t="s">
        <v>325</v>
      </c>
      <c r="E38" s="9" t="s">
        <v>381</v>
      </c>
    </row>
    <row r="39" spans="1:5" x14ac:dyDescent="0.25">
      <c r="A39" s="12" t="s">
        <v>257</v>
      </c>
    </row>
    <row r="40" spans="1:5" x14ac:dyDescent="0.25">
      <c r="A40" s="11" t="s">
        <v>260</v>
      </c>
    </row>
    <row r="41" spans="1:5" x14ac:dyDescent="0.25">
      <c r="A41" s="12" t="s">
        <v>338</v>
      </c>
    </row>
    <row r="42" spans="1:5" x14ac:dyDescent="0.25">
      <c r="A42" s="12" t="s">
        <v>343</v>
      </c>
    </row>
    <row r="43" spans="1:5" x14ac:dyDescent="0.25">
      <c r="A43" s="11" t="s">
        <v>346</v>
      </c>
    </row>
  </sheetData>
  <mergeCells count="9">
    <mergeCell ref="A27:A29"/>
    <mergeCell ref="A3:A7"/>
    <mergeCell ref="B3:B4"/>
    <mergeCell ref="B6:B7"/>
    <mergeCell ref="A13:A17"/>
    <mergeCell ref="B13:B17"/>
    <mergeCell ref="A19:A24"/>
    <mergeCell ref="B19:B20"/>
    <mergeCell ref="A8:A10"/>
  </mergeCells>
  <phoneticPr fontId="3" type="noConversion"/>
  <dataValidations count="1">
    <dataValidation type="list" allowBlank="1" showInputMessage="1" showErrorMessage="1" sqref="C2:C140" xr:uid="{4C21645A-CEAD-416D-94A6-CDBCFEA4067B}">
      <formula1>$I$2:$I$14</formula1>
    </dataValidation>
  </dataValidations>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7"/>
  <sheetViews>
    <sheetView workbookViewId="0">
      <pane ySplit="1" topLeftCell="A2" activePane="bottomLeft" state="frozen"/>
      <selection pane="bottomLeft" activeCell="E35" sqref="E35"/>
    </sheetView>
  </sheetViews>
  <sheetFormatPr defaultColWidth="9" defaultRowHeight="14" x14ac:dyDescent="0.25"/>
  <cols>
    <col min="1" max="1" width="6.36328125" style="1" bestFit="1" customWidth="1"/>
    <col min="2" max="2" width="10.81640625" style="1" bestFit="1" customWidth="1"/>
    <col min="3" max="3" width="12.36328125" style="1" bestFit="1" customWidth="1"/>
    <col min="4" max="4" width="14.453125" style="1" bestFit="1" customWidth="1"/>
    <col min="5" max="6" width="14.453125" style="1" customWidth="1"/>
    <col min="7" max="9" width="9" style="1"/>
    <col min="10" max="10" width="10.81640625" style="1" bestFit="1" customWidth="1"/>
    <col min="11" max="16384" width="9" style="1"/>
  </cols>
  <sheetData>
    <row r="1" spans="1:12" x14ac:dyDescent="0.25">
      <c r="A1" s="2" t="s">
        <v>216</v>
      </c>
      <c r="B1" s="2" t="s">
        <v>217</v>
      </c>
      <c r="C1" s="2" t="s">
        <v>218</v>
      </c>
      <c r="D1" s="2" t="s">
        <v>219</v>
      </c>
      <c r="E1" s="2" t="s">
        <v>269</v>
      </c>
      <c r="F1" s="2" t="s">
        <v>272</v>
      </c>
      <c r="G1" s="2" t="s">
        <v>220</v>
      </c>
      <c r="H1" s="2" t="s">
        <v>224</v>
      </c>
      <c r="I1" s="2" t="s">
        <v>225</v>
      </c>
      <c r="J1" s="2" t="s">
        <v>226</v>
      </c>
      <c r="K1" s="2" t="s">
        <v>227</v>
      </c>
      <c r="L1" s="2" t="s">
        <v>270</v>
      </c>
    </row>
    <row r="2" spans="1:12" x14ac:dyDescent="0.25">
      <c r="A2" s="3">
        <v>1</v>
      </c>
      <c r="B2" s="4" t="s">
        <v>221</v>
      </c>
      <c r="C2" s="4" t="s">
        <v>222</v>
      </c>
      <c r="D2" s="4" t="s">
        <v>230</v>
      </c>
      <c r="E2" s="3"/>
      <c r="F2" s="3"/>
      <c r="G2" s="4" t="s">
        <v>231</v>
      </c>
      <c r="H2" s="3"/>
      <c r="I2" s="3"/>
      <c r="J2" s="3"/>
      <c r="K2" s="3"/>
      <c r="L2" s="3"/>
    </row>
    <row r="3" spans="1:12" x14ac:dyDescent="0.25">
      <c r="A3" s="3">
        <v>2</v>
      </c>
      <c r="B3" s="4" t="s">
        <v>221</v>
      </c>
      <c r="C3" s="4" t="s">
        <v>223</v>
      </c>
      <c r="D3" s="4" t="s">
        <v>230</v>
      </c>
      <c r="E3" s="4" t="s">
        <v>271</v>
      </c>
      <c r="F3" s="4"/>
      <c r="G3" s="4" t="s">
        <v>231</v>
      </c>
      <c r="H3" s="3"/>
      <c r="I3" s="3"/>
      <c r="J3" s="3"/>
      <c r="K3" s="3"/>
      <c r="L3" s="3"/>
    </row>
    <row r="4" spans="1:12" x14ac:dyDescent="0.25">
      <c r="A4" s="3">
        <v>3</v>
      </c>
      <c r="B4" s="4" t="s">
        <v>221</v>
      </c>
      <c r="C4" s="4" t="s">
        <v>228</v>
      </c>
      <c r="D4" s="4" t="s">
        <v>230</v>
      </c>
      <c r="E4" s="4" t="s">
        <v>271</v>
      </c>
      <c r="F4" s="4"/>
      <c r="G4" s="4" t="s">
        <v>231</v>
      </c>
      <c r="H4" s="3"/>
      <c r="I4" s="3"/>
      <c r="J4" s="3"/>
      <c r="K4" s="3"/>
      <c r="L4" s="3"/>
    </row>
    <row r="5" spans="1:12" x14ac:dyDescent="0.25">
      <c r="A5" s="3">
        <v>4</v>
      </c>
      <c r="B5" s="4" t="s">
        <v>221</v>
      </c>
      <c r="C5" s="4" t="s">
        <v>229</v>
      </c>
      <c r="D5" s="4" t="s">
        <v>230</v>
      </c>
      <c r="E5" s="4" t="s">
        <v>271</v>
      </c>
      <c r="F5" s="4"/>
      <c r="G5" s="4" t="s">
        <v>231</v>
      </c>
      <c r="H5" s="3"/>
      <c r="I5" s="3"/>
      <c r="J5" s="3"/>
      <c r="K5" s="3"/>
      <c r="L5" s="3"/>
    </row>
    <row r="6" spans="1:12" x14ac:dyDescent="0.25">
      <c r="A6" s="3">
        <v>5</v>
      </c>
      <c r="B6" s="4" t="s">
        <v>232</v>
      </c>
      <c r="C6" s="4" t="s">
        <v>233</v>
      </c>
      <c r="D6" s="4" t="s">
        <v>234</v>
      </c>
      <c r="E6" s="4"/>
      <c r="F6" s="4"/>
      <c r="G6" s="4" t="s">
        <v>235</v>
      </c>
      <c r="H6" s="3"/>
      <c r="I6" s="3"/>
      <c r="J6" s="3"/>
      <c r="K6" s="3"/>
      <c r="L6" s="3"/>
    </row>
    <row r="7" spans="1:12" x14ac:dyDescent="0.25">
      <c r="A7" s="3">
        <v>6</v>
      </c>
      <c r="B7" s="4" t="s">
        <v>232</v>
      </c>
      <c r="C7" s="4" t="s">
        <v>236</v>
      </c>
      <c r="D7" s="4" t="s">
        <v>237</v>
      </c>
      <c r="E7" s="4"/>
      <c r="F7" s="4"/>
      <c r="G7" s="4" t="s">
        <v>231</v>
      </c>
      <c r="H7" s="3"/>
      <c r="I7" s="3"/>
      <c r="J7" s="3"/>
      <c r="K7" s="3"/>
      <c r="L7" s="3"/>
    </row>
    <row r="8" spans="1:12" x14ac:dyDescent="0.25">
      <c r="A8" s="3">
        <v>7</v>
      </c>
      <c r="B8" s="4" t="s">
        <v>232</v>
      </c>
      <c r="C8" s="4" t="s">
        <v>240</v>
      </c>
      <c r="D8" s="4" t="s">
        <v>238</v>
      </c>
      <c r="E8" s="4"/>
      <c r="F8" s="4"/>
      <c r="G8" s="4" t="s">
        <v>231</v>
      </c>
      <c r="H8" s="3"/>
      <c r="I8" s="3"/>
      <c r="J8" s="3"/>
      <c r="K8" s="3"/>
      <c r="L8" s="3"/>
    </row>
    <row r="9" spans="1:12" x14ac:dyDescent="0.25">
      <c r="A9" s="3">
        <v>8</v>
      </c>
      <c r="B9" s="4" t="s">
        <v>232</v>
      </c>
      <c r="C9" s="4" t="s">
        <v>241</v>
      </c>
      <c r="D9" s="4" t="s">
        <v>238</v>
      </c>
      <c r="E9" s="4"/>
      <c r="F9" s="4"/>
      <c r="G9" s="4" t="s">
        <v>231</v>
      </c>
      <c r="H9" s="3"/>
      <c r="I9" s="3"/>
      <c r="J9" s="3"/>
      <c r="K9" s="3"/>
      <c r="L9" s="3"/>
    </row>
    <row r="10" spans="1:12" x14ac:dyDescent="0.25">
      <c r="A10" s="3">
        <v>9</v>
      </c>
      <c r="B10" s="4" t="s">
        <v>232</v>
      </c>
      <c r="C10" s="4" t="s">
        <v>239</v>
      </c>
      <c r="D10" s="4" t="s">
        <v>238</v>
      </c>
      <c r="E10" s="4"/>
      <c r="F10" s="4"/>
      <c r="G10" s="4" t="s">
        <v>231</v>
      </c>
      <c r="H10" s="3"/>
      <c r="I10" s="3"/>
      <c r="J10" s="3"/>
      <c r="K10" s="3"/>
      <c r="L10" s="3"/>
    </row>
    <row r="11" spans="1:12" x14ac:dyDescent="0.25">
      <c r="A11" s="3">
        <v>10</v>
      </c>
      <c r="B11" s="4" t="s">
        <v>232</v>
      </c>
      <c r="C11" s="4" t="s">
        <v>242</v>
      </c>
      <c r="D11" s="4" t="s">
        <v>238</v>
      </c>
      <c r="E11" s="4"/>
      <c r="F11" s="4"/>
      <c r="G11" s="4" t="s">
        <v>231</v>
      </c>
      <c r="H11" s="3"/>
      <c r="I11" s="3"/>
      <c r="J11" s="3"/>
      <c r="K11" s="3"/>
      <c r="L11" s="3"/>
    </row>
    <row r="12" spans="1:12" x14ac:dyDescent="0.25">
      <c r="A12" s="3">
        <v>11</v>
      </c>
      <c r="B12" s="4" t="s">
        <v>243</v>
      </c>
      <c r="C12" s="4" t="s">
        <v>244</v>
      </c>
      <c r="D12" s="4" t="s">
        <v>245</v>
      </c>
      <c r="E12" s="4"/>
      <c r="F12" s="4"/>
      <c r="G12" s="4" t="s">
        <v>252</v>
      </c>
      <c r="H12" s="3"/>
      <c r="I12" s="3"/>
      <c r="J12" s="3"/>
      <c r="K12" s="3"/>
      <c r="L12" s="3"/>
    </row>
    <row r="13" spans="1:12" x14ac:dyDescent="0.25">
      <c r="A13" s="3">
        <v>12</v>
      </c>
      <c r="B13" s="4" t="s">
        <v>243</v>
      </c>
      <c r="C13" s="4" t="s">
        <v>246</v>
      </c>
      <c r="D13" s="4" t="s">
        <v>251</v>
      </c>
      <c r="E13" s="4"/>
      <c r="F13" s="4"/>
      <c r="G13" s="4" t="s">
        <v>252</v>
      </c>
      <c r="H13" s="3"/>
      <c r="I13" s="3"/>
      <c r="J13" s="3"/>
      <c r="K13" s="3"/>
      <c r="L13" s="3"/>
    </row>
    <row r="14" spans="1:12" x14ac:dyDescent="0.25">
      <c r="A14" s="3">
        <v>13</v>
      </c>
      <c r="B14" s="4" t="s">
        <v>243</v>
      </c>
      <c r="C14" s="4" t="s">
        <v>247</v>
      </c>
      <c r="D14" s="4" t="s">
        <v>251</v>
      </c>
      <c r="E14" s="4"/>
      <c r="F14" s="4"/>
      <c r="G14" s="4" t="s">
        <v>252</v>
      </c>
      <c r="H14" s="3"/>
      <c r="I14" s="3"/>
      <c r="J14" s="3"/>
      <c r="K14" s="3"/>
      <c r="L14" s="3"/>
    </row>
    <row r="15" spans="1:12" x14ac:dyDescent="0.25">
      <c r="A15" s="3">
        <v>14</v>
      </c>
      <c r="B15" s="4" t="s">
        <v>243</v>
      </c>
      <c r="C15" s="4" t="s">
        <v>248</v>
      </c>
      <c r="D15" s="4" t="s">
        <v>251</v>
      </c>
      <c r="E15" s="4"/>
      <c r="F15" s="4"/>
      <c r="G15" s="4" t="s">
        <v>252</v>
      </c>
      <c r="H15" s="3"/>
      <c r="I15" s="3"/>
      <c r="J15" s="3"/>
      <c r="K15" s="3"/>
      <c r="L15" s="3"/>
    </row>
    <row r="16" spans="1:12" x14ac:dyDescent="0.25">
      <c r="A16" s="3">
        <v>15</v>
      </c>
      <c r="B16" s="4" t="s">
        <v>243</v>
      </c>
      <c r="C16" s="4" t="s">
        <v>249</v>
      </c>
      <c r="D16" s="4" t="s">
        <v>251</v>
      </c>
      <c r="E16" s="4"/>
      <c r="F16" s="4"/>
      <c r="G16" s="4" t="s">
        <v>252</v>
      </c>
      <c r="H16" s="3"/>
      <c r="I16" s="3"/>
      <c r="J16" s="3"/>
      <c r="K16" s="3"/>
      <c r="L16" s="3"/>
    </row>
    <row r="17" spans="1:12" x14ac:dyDescent="0.25">
      <c r="A17" s="3">
        <v>16</v>
      </c>
      <c r="B17" s="4" t="s">
        <v>243</v>
      </c>
      <c r="C17" s="4" t="s">
        <v>250</v>
      </c>
      <c r="D17" s="4" t="s">
        <v>251</v>
      </c>
      <c r="E17" s="4"/>
      <c r="F17" s="4"/>
      <c r="G17" s="4" t="s">
        <v>252</v>
      </c>
      <c r="H17" s="3"/>
      <c r="I17" s="3"/>
      <c r="J17" s="3"/>
      <c r="K17" s="3"/>
      <c r="L17" s="3"/>
    </row>
    <row r="18" spans="1:12" x14ac:dyDescent="0.25">
      <c r="A18" s="3">
        <v>17</v>
      </c>
      <c r="B18" s="4" t="s">
        <v>253</v>
      </c>
      <c r="C18" s="4" t="s">
        <v>254</v>
      </c>
      <c r="D18" s="4" t="s">
        <v>256</v>
      </c>
      <c r="E18" s="4"/>
      <c r="F18" s="4"/>
      <c r="G18" s="4" t="s">
        <v>252</v>
      </c>
      <c r="H18" s="3"/>
      <c r="I18" s="3"/>
      <c r="J18" s="3"/>
      <c r="K18" s="3"/>
      <c r="L18" s="3"/>
    </row>
    <row r="19" spans="1:12" x14ac:dyDescent="0.25">
      <c r="A19" s="3">
        <v>18</v>
      </c>
      <c r="B19" s="4" t="s">
        <v>253</v>
      </c>
      <c r="C19" s="4" t="s">
        <v>255</v>
      </c>
      <c r="D19" s="4" t="s">
        <v>251</v>
      </c>
      <c r="E19" s="4"/>
      <c r="F19" s="4"/>
      <c r="G19" s="4" t="s">
        <v>252</v>
      </c>
      <c r="H19" s="3"/>
      <c r="I19" s="3"/>
      <c r="J19" s="3"/>
      <c r="K19" s="3"/>
      <c r="L19" s="3"/>
    </row>
    <row r="20" spans="1:12" x14ac:dyDescent="0.25">
      <c r="A20" s="3">
        <v>19</v>
      </c>
      <c r="B20" s="4" t="s">
        <v>257</v>
      </c>
      <c r="C20" s="3"/>
      <c r="D20" s="4" t="s">
        <v>258</v>
      </c>
      <c r="E20" s="4"/>
      <c r="F20" s="4"/>
      <c r="G20" s="4" t="s">
        <v>259</v>
      </c>
      <c r="H20" s="3"/>
      <c r="I20" s="3"/>
      <c r="J20" s="3"/>
      <c r="K20" s="3"/>
      <c r="L20" s="3"/>
    </row>
    <row r="21" spans="1:12" x14ac:dyDescent="0.25">
      <c r="A21" s="3">
        <v>20</v>
      </c>
      <c r="B21" s="4" t="s">
        <v>260</v>
      </c>
      <c r="C21" s="4" t="s">
        <v>261</v>
      </c>
      <c r="D21" s="4" t="s">
        <v>264</v>
      </c>
      <c r="E21" s="4"/>
      <c r="F21" s="4"/>
      <c r="G21" s="4" t="s">
        <v>231</v>
      </c>
      <c r="H21" s="3"/>
      <c r="I21" s="3"/>
      <c r="J21" s="3"/>
      <c r="K21" s="3"/>
      <c r="L21" s="3"/>
    </row>
    <row r="22" spans="1:12" x14ac:dyDescent="0.25">
      <c r="A22" s="3">
        <v>21</v>
      </c>
      <c r="B22" s="4" t="s">
        <v>262</v>
      </c>
      <c r="C22" s="4" t="s">
        <v>263</v>
      </c>
      <c r="D22" s="4" t="s">
        <v>268</v>
      </c>
      <c r="E22" s="4"/>
      <c r="F22" s="4"/>
      <c r="G22" s="4" t="s">
        <v>231</v>
      </c>
      <c r="H22" s="3"/>
      <c r="I22" s="3"/>
      <c r="J22" s="3"/>
      <c r="K22" s="3"/>
      <c r="L22" s="3"/>
    </row>
    <row r="23" spans="1:12" x14ac:dyDescent="0.25">
      <c r="A23" s="3">
        <v>22</v>
      </c>
      <c r="B23" s="4" t="s">
        <v>243</v>
      </c>
      <c r="C23" s="4" t="s">
        <v>265</v>
      </c>
      <c r="D23" s="4" t="s">
        <v>266</v>
      </c>
      <c r="E23" s="4"/>
      <c r="F23" s="4"/>
      <c r="G23" s="4" t="s">
        <v>231</v>
      </c>
      <c r="H23" s="3"/>
      <c r="I23" s="3"/>
      <c r="J23" s="3"/>
      <c r="K23" s="3"/>
      <c r="L23" s="3"/>
    </row>
    <row r="24" spans="1:12" x14ac:dyDescent="0.25">
      <c r="A24" s="3">
        <v>23</v>
      </c>
      <c r="B24" s="4" t="s">
        <v>267</v>
      </c>
      <c r="C24" s="3"/>
      <c r="D24" s="4" t="s">
        <v>268</v>
      </c>
      <c r="E24" s="4"/>
      <c r="F24" s="4"/>
      <c r="G24" s="4" t="s">
        <v>231</v>
      </c>
      <c r="H24" s="3"/>
      <c r="I24" s="3"/>
      <c r="J24" s="3"/>
      <c r="K24" s="3"/>
      <c r="L24" s="3"/>
    </row>
    <row r="27" spans="1:12" x14ac:dyDescent="0.25">
      <c r="H27" s="54"/>
    </row>
  </sheetData>
  <autoFilter ref="A1:L24" xr:uid="{00000000-0001-0000-0100-000000000000}"/>
  <phoneticPr fontId="3"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绿智食堂项目发货</vt:lpstr>
      <vt:lpstr>项目跟进表</vt:lpstr>
      <vt:lpstr>每周项目支持</vt:lpstr>
      <vt:lpstr>项目类型</vt:lpstr>
      <vt:lpstr>解决方案跟进表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jiong zhou</dc:creator>
  <cp:lastModifiedBy>阳 杨</cp:lastModifiedBy>
  <dcterms:created xsi:type="dcterms:W3CDTF">2023-05-12T11:15:00Z</dcterms:created>
  <dcterms:modified xsi:type="dcterms:W3CDTF">2026-03-23T07:44:28Z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